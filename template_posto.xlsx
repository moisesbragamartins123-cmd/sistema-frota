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ise\Downloads\"/>
    </mc:Choice>
  </mc:AlternateContent>
  <xr:revisionPtr revIDLastSave="0" documentId="13_ncr:1_{0BA568BD-8870-49F0-B6C2-39F10BB00BD6}" xr6:coauthVersionLast="47" xr6:coauthVersionMax="47" xr10:uidLastSave="{00000000-0000-0000-0000-000000000000}"/>
  <bookViews>
    <workbookView xWindow="-108" yWindow="-108" windowWidth="23256" windowHeight="12456" xr2:uid="{F2E926A6-1D7B-46C1-853C-913B9CD95B80}"/>
  </bookViews>
  <sheets>
    <sheet name="PADRÃO" sheetId="1" r:id="rId1"/>
  </sheets>
  <externalReferences>
    <externalReference r:id="rId2"/>
    <externalReference r:id="rId3"/>
  </externalReferences>
  <definedNames>
    <definedName name="\a">#REF!</definedName>
    <definedName name="\b">#REF!</definedName>
    <definedName name="\p">#REF!</definedName>
    <definedName name="_xlnm._FilterDatabase" localSheetId="0" hidden="1">PADRÃO!$A$7:$M$24</definedName>
    <definedName name="A">[1]DIVERSOS!#REF!</definedName>
    <definedName name="_xlnm.Print_Area" localSheetId="0">PADRÃO!$A$1:$M$23</definedName>
    <definedName name="CACAMBA">'[2]CADASTRO DE CACAMBA'!$A$7:$AG$30</definedName>
    <definedName name="SSS">[1]DIVERSOS!#REF!</definedName>
    <definedName name="wrn.Orçamento." hidden="1">{#N/A,#N/A,FALSE,"Planilha";#N/A,#N/A,FALSE,"Resumo";#N/A,#N/A,FALSE,"Fisico";#N/A,#N/A,FALSE,"Financeiro";#N/A,#N/A,FALSE,"Financeiro"}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3" i="1" l="1"/>
  <c r="E43" i="1"/>
  <c r="F42" i="1"/>
  <c r="E42" i="1"/>
  <c r="F41" i="1"/>
  <c r="E41" i="1"/>
  <c r="F40" i="1"/>
  <c r="E40" i="1"/>
  <c r="E37" i="1"/>
  <c r="K34" i="1"/>
  <c r="K33" i="1"/>
  <c r="I22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22" i="1" l="1"/>
  <c r="E44" i="1"/>
  <c r="E45" i="1" s="1"/>
  <c r="F44" i="1"/>
  <c r="F45" i="1" s="1"/>
</calcChain>
</file>

<file path=xl/sharedStrings.xml><?xml version="1.0" encoding="utf-8"?>
<sst xmlns="http://schemas.openxmlformats.org/spreadsheetml/2006/main" count="38" uniqueCount="34">
  <si>
    <t>OBRA:</t>
  </si>
  <si>
    <t>RAZÃO SOCIAL</t>
  </si>
  <si>
    <t>PIX</t>
  </si>
  <si>
    <t>DESCRIÇÃO:</t>
  </si>
  <si>
    <t>PREÇO GASOLINA (L)</t>
  </si>
  <si>
    <t>AGÊNCIA:</t>
  </si>
  <si>
    <t>TIPO DE CONTA:</t>
  </si>
  <si>
    <t>PERÍODO:</t>
  </si>
  <si>
    <t>PREÇO DIESEL (L)</t>
  </si>
  <si>
    <t>CONTA:</t>
  </si>
  <si>
    <t>BANCO:</t>
  </si>
  <si>
    <t xml:space="preserve">C O N T R O L E   D E   A B A S T E C I M E N T O  - </t>
  </si>
  <si>
    <t>DATA</t>
  </si>
  <si>
    <t>DIA DA SEMANA</t>
  </si>
  <si>
    <t>FICHA</t>
  </si>
  <si>
    <t>PLACA</t>
  </si>
  <si>
    <t>CÓDIGO / PREFIXO</t>
  </si>
  <si>
    <t>VEÍCULO / MAQUINA - MOTORISTA / OPERADOR</t>
  </si>
  <si>
    <t>FORNECEDOR</t>
  </si>
  <si>
    <t>TIPO DE COMBUSTÍVEL</t>
  </si>
  <si>
    <t>QUANTIDADE (L)</t>
  </si>
  <si>
    <t>VALOR UNITÁRIO (R$)</t>
  </si>
  <si>
    <t>TOTAL (R$)</t>
  </si>
  <si>
    <t>KM / HOR</t>
  </si>
  <si>
    <t>OBSERVAÇÃO</t>
  </si>
  <si>
    <t>TOTAL</t>
  </si>
  <si>
    <t>CUSTO</t>
  </si>
  <si>
    <t>GASOLINA</t>
  </si>
  <si>
    <t>DIESEL</t>
  </si>
  <si>
    <t>OUTRO</t>
  </si>
  <si>
    <t>LITROS</t>
  </si>
  <si>
    <t>ARLA</t>
  </si>
  <si>
    <t>ALCOOL</t>
  </si>
  <si>
    <t>ÁGUA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</si>
</sst>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;@"/>
    <numFmt numFmtId="165" formatCode="&quot;R$&quot;\ #,##0.00"/>
    <numFmt numFmtId="166" formatCode="ddd"/>
    <numFmt numFmtId="167" formatCode="00000"/>
    <numFmt numFmtId="168" formatCode="_-* #,##0.000_-;\-* #,##0.000_-;_-* &quot;-&quot;??_-;_-@_-"/>
    <numFmt numFmtId="169" formatCode="_-* #,##0.0_-;\-* #,##0.0_-;_-* &quot;-&quot;??_-;_-@_-"/>
    <numFmt numFmtId="170" formatCode="_-* #,##0.0_-;\-* #,##0.0_-;_-* &quot;-&quot;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auto="1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164" fontId="0" fillId="2" borderId="4" xfId="0" applyNumberForma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left" vertical="center" indent="1"/>
    </xf>
    <xf numFmtId="0" fontId="0" fillId="2" borderId="4" xfId="0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5" fillId="2" borderId="0" xfId="0" applyNumberFormat="1" applyFont="1" applyFill="1" applyAlignment="1">
      <alignment horizontal="left" vertical="center" indent="1"/>
    </xf>
    <xf numFmtId="165" fontId="6" fillId="2" borderId="0" xfId="0" applyNumberFormat="1" applyFont="1" applyFill="1" applyAlignment="1">
      <alignment horizontal="center" vertical="center"/>
    </xf>
    <xf numFmtId="43" fontId="2" fillId="2" borderId="6" xfId="1" applyFont="1" applyFill="1" applyBorder="1" applyAlignment="1">
      <alignment horizontal="left" vertical="center" indent="1"/>
    </xf>
    <xf numFmtId="43" fontId="0" fillId="2" borderId="0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vertical="center"/>
    </xf>
    <xf numFmtId="0" fontId="3" fillId="2" borderId="11" xfId="0" applyFont="1" applyFill="1" applyBorder="1" applyAlignment="1">
      <alignment horizontal="left" vertical="center"/>
    </xf>
    <xf numFmtId="0" fontId="4" fillId="2" borderId="11" xfId="0" applyFont="1" applyFill="1" applyBorder="1" applyAlignment="1">
      <alignment vertical="center"/>
    </xf>
    <xf numFmtId="0" fontId="5" fillId="2" borderId="11" xfId="0" applyFont="1" applyFill="1" applyBorder="1" applyAlignment="1">
      <alignment horizontal="left" vertical="center" indent="1"/>
    </xf>
    <xf numFmtId="165" fontId="6" fillId="2" borderId="11" xfId="0" applyNumberFormat="1" applyFont="1" applyFill="1" applyBorder="1" applyAlignment="1">
      <alignment horizontal="center" vertical="center"/>
    </xf>
    <xf numFmtId="164" fontId="2" fillId="2" borderId="9" xfId="0" applyNumberFormat="1" applyFont="1" applyFill="1" applyBorder="1" applyAlignment="1">
      <alignment horizontal="left" vertical="center" indent="1"/>
    </xf>
    <xf numFmtId="164" fontId="0" fillId="2" borderId="11" xfId="0" applyNumberForma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64" fontId="0" fillId="2" borderId="0" xfId="0" applyNumberFormat="1" applyFill="1" applyAlignment="1">
      <alignment vertical="center"/>
    </xf>
    <xf numFmtId="0" fontId="0" fillId="2" borderId="11" xfId="0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164" fontId="0" fillId="2" borderId="11" xfId="0" applyNumberForma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4" fontId="2" fillId="3" borderId="17" xfId="0" applyNumberFormat="1" applyFont="1" applyFill="1" applyBorder="1" applyAlignment="1">
      <alignment horizontal="center" vertical="center" wrapText="1"/>
    </xf>
    <xf numFmtId="164" fontId="2" fillId="3" borderId="18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164" fontId="6" fillId="2" borderId="19" xfId="0" applyNumberFormat="1" applyFont="1" applyFill="1" applyBorder="1" applyAlignment="1">
      <alignment horizontal="center" vertical="center"/>
    </xf>
    <xf numFmtId="166" fontId="9" fillId="3" borderId="20" xfId="0" applyNumberFormat="1" applyFont="1" applyFill="1" applyBorder="1" applyAlignment="1">
      <alignment horizontal="center" vertical="center"/>
    </xf>
    <xf numFmtId="167" fontId="6" fillId="2" borderId="20" xfId="0" applyNumberFormat="1" applyFont="1" applyFill="1" applyBorder="1" applyAlignment="1">
      <alignment horizontal="center" vertical="center"/>
    </xf>
    <xf numFmtId="4" fontId="6" fillId="2" borderId="20" xfId="0" applyNumberFormat="1" applyFont="1" applyFill="1" applyBorder="1" applyAlignment="1">
      <alignment horizontal="center" vertical="center"/>
    </xf>
    <xf numFmtId="4" fontId="9" fillId="3" borderId="20" xfId="0" applyNumberFormat="1" applyFont="1" applyFill="1" applyBorder="1" applyAlignment="1">
      <alignment horizontal="center" vertical="center"/>
    </xf>
    <xf numFmtId="164" fontId="6" fillId="3" borderId="20" xfId="0" applyNumberFormat="1" applyFont="1" applyFill="1" applyBorder="1" applyAlignment="1">
      <alignment horizontal="center" vertical="center"/>
    </xf>
    <xf numFmtId="164" fontId="6" fillId="2" borderId="20" xfId="0" applyNumberFormat="1" applyFont="1" applyFill="1" applyBorder="1" applyAlignment="1">
      <alignment horizontal="center" vertical="center"/>
    </xf>
    <xf numFmtId="168" fontId="6" fillId="2" borderId="20" xfId="3" applyNumberFormat="1" applyFont="1" applyFill="1" applyBorder="1" applyAlignment="1">
      <alignment horizontal="right" vertical="center"/>
    </xf>
    <xf numFmtId="168" fontId="6" fillId="3" borderId="20" xfId="3" applyNumberFormat="1" applyFont="1" applyFill="1" applyBorder="1" applyAlignment="1">
      <alignment horizontal="right" vertical="center"/>
    </xf>
    <xf numFmtId="43" fontId="9" fillId="2" borderId="20" xfId="3" applyFont="1" applyFill="1" applyBorder="1" applyAlignment="1">
      <alignment horizontal="right" vertical="center"/>
    </xf>
    <xf numFmtId="169" fontId="6" fillId="2" borderId="20" xfId="3" applyNumberFormat="1" applyFont="1" applyFill="1" applyBorder="1" applyAlignment="1">
      <alignment horizontal="center" vertical="center"/>
    </xf>
    <xf numFmtId="43" fontId="6" fillId="2" borderId="21" xfId="3" applyFont="1" applyFill="1" applyBorder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2" borderId="20" xfId="0" applyFont="1" applyFill="1" applyBorder="1" applyAlignment="1">
      <alignment horizontal="center" vertical="center"/>
    </xf>
    <xf numFmtId="4" fontId="6" fillId="0" borderId="20" xfId="0" applyNumberFormat="1" applyFont="1" applyBorder="1" applyAlignment="1">
      <alignment horizontal="center" vertical="center"/>
    </xf>
    <xf numFmtId="168" fontId="6" fillId="2" borderId="20" xfId="1" applyNumberFormat="1" applyFont="1" applyFill="1" applyBorder="1" applyAlignment="1">
      <alignment horizontal="right" vertical="center"/>
    </xf>
    <xf numFmtId="169" fontId="6" fillId="2" borderId="20" xfId="1" applyNumberFormat="1" applyFont="1" applyFill="1" applyBorder="1" applyAlignment="1">
      <alignment horizontal="center" vertical="center"/>
    </xf>
    <xf numFmtId="164" fontId="6" fillId="2" borderId="22" xfId="0" applyNumberFormat="1" applyFont="1" applyFill="1" applyBorder="1" applyAlignment="1">
      <alignment horizontal="center" vertical="center"/>
    </xf>
    <xf numFmtId="166" fontId="9" fillId="3" borderId="23" xfId="0" applyNumberFormat="1" applyFont="1" applyFill="1" applyBorder="1" applyAlignment="1">
      <alignment horizontal="center" vertical="center"/>
    </xf>
    <xf numFmtId="167" fontId="6" fillId="2" borderId="23" xfId="0" applyNumberFormat="1" applyFont="1" applyFill="1" applyBorder="1" applyAlignment="1">
      <alignment horizontal="center" vertical="center"/>
    </xf>
    <xf numFmtId="4" fontId="6" fillId="2" borderId="23" xfId="0" applyNumberFormat="1" applyFont="1" applyFill="1" applyBorder="1" applyAlignment="1">
      <alignment horizontal="center" vertical="center"/>
    </xf>
    <xf numFmtId="4" fontId="9" fillId="3" borderId="23" xfId="0" applyNumberFormat="1" applyFont="1" applyFill="1" applyBorder="1" applyAlignment="1">
      <alignment horizontal="center" vertical="center"/>
    </xf>
    <xf numFmtId="169" fontId="6" fillId="2" borderId="23" xfId="1" applyNumberFormat="1" applyFont="1" applyFill="1" applyBorder="1" applyAlignment="1">
      <alignment horizontal="center" vertical="center"/>
    </xf>
    <xf numFmtId="43" fontId="6" fillId="2" borderId="24" xfId="3" applyFont="1" applyFill="1" applyBorder="1" applyAlignment="1">
      <alignment horizontal="left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vertical="center"/>
    </xf>
    <xf numFmtId="0" fontId="10" fillId="2" borderId="26" xfId="0" applyFont="1" applyFill="1" applyBorder="1" applyAlignment="1">
      <alignment vertical="center"/>
    </xf>
    <xf numFmtId="0" fontId="0" fillId="2" borderId="26" xfId="0" applyFill="1" applyBorder="1" applyAlignment="1">
      <alignment horizontal="center" vertical="center"/>
    </xf>
    <xf numFmtId="164" fontId="0" fillId="2" borderId="26" xfId="0" applyNumberFormat="1" applyFill="1" applyBorder="1" applyAlignment="1">
      <alignment horizontal="center" vertical="center"/>
    </xf>
    <xf numFmtId="4" fontId="11" fillId="2" borderId="26" xfId="2" applyNumberFormat="1" applyFont="1" applyFill="1" applyBorder="1" applyAlignment="1">
      <alignment vertical="center"/>
    </xf>
    <xf numFmtId="4" fontId="11" fillId="2" borderId="26" xfId="0" applyNumberFormat="1" applyFont="1" applyFill="1" applyBorder="1" applyAlignment="1">
      <alignment vertical="center"/>
    </xf>
    <xf numFmtId="165" fontId="11" fillId="2" borderId="26" xfId="2" applyNumberFormat="1" applyFont="1" applyFill="1" applyBorder="1" applyAlignment="1">
      <alignment vertical="center"/>
    </xf>
    <xf numFmtId="165" fontId="11" fillId="2" borderId="27" xfId="2" applyNumberFormat="1" applyFont="1" applyFill="1" applyBorder="1" applyAlignment="1">
      <alignment horizontal="center" vertical="center"/>
    </xf>
    <xf numFmtId="43" fontId="6" fillId="2" borderId="0" xfId="3" applyFont="1" applyFill="1" applyBorder="1" applyAlignment="1">
      <alignment horizontal="left" vertical="center"/>
    </xf>
    <xf numFmtId="0" fontId="10" fillId="2" borderId="0" xfId="0" applyFont="1" applyFill="1" applyAlignment="1">
      <alignment vertical="center"/>
    </xf>
    <xf numFmtId="4" fontId="11" fillId="2" borderId="0" xfId="2" applyNumberFormat="1" applyFont="1" applyFill="1" applyBorder="1" applyAlignment="1">
      <alignment vertical="center"/>
    </xf>
    <xf numFmtId="4" fontId="11" fillId="2" borderId="0" xfId="0" applyNumberFormat="1" applyFont="1" applyFill="1" applyAlignment="1">
      <alignment vertical="center"/>
    </xf>
    <xf numFmtId="165" fontId="11" fillId="2" borderId="0" xfId="2" applyNumberFormat="1" applyFont="1" applyFill="1" applyBorder="1" applyAlignment="1">
      <alignment vertical="center"/>
    </xf>
    <xf numFmtId="165" fontId="11" fillId="2" borderId="0" xfId="2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43" fontId="0" fillId="2" borderId="0" xfId="1" applyFont="1" applyFill="1" applyAlignment="1">
      <alignment vertical="center"/>
    </xf>
    <xf numFmtId="43" fontId="6" fillId="2" borderId="0" xfId="1" applyFont="1" applyFill="1" applyBorder="1" applyAlignment="1">
      <alignment horizontal="left" vertical="center"/>
    </xf>
    <xf numFmtId="170" fontId="0" fillId="2" borderId="0" xfId="0" applyNumberFormat="1" applyFill="1" applyAlignment="1">
      <alignment vertical="center"/>
    </xf>
    <xf numFmtId="165" fontId="4" fillId="2" borderId="0" xfId="2" applyNumberFormat="1" applyFont="1" applyFill="1" applyBorder="1" applyAlignment="1">
      <alignment horizontal="right" vertical="center"/>
    </xf>
    <xf numFmtId="164" fontId="0" fillId="2" borderId="28" xfId="0" applyNumberFormat="1" applyFill="1" applyBorder="1" applyAlignment="1">
      <alignment horizontal="center" vertical="center"/>
    </xf>
    <xf numFmtId="2" fontId="0" fillId="2" borderId="28" xfId="0" applyNumberFormat="1" applyFill="1" applyBorder="1" applyAlignment="1">
      <alignment horizontal="center" vertical="center"/>
    </xf>
    <xf numFmtId="165" fontId="4" fillId="2" borderId="0" xfId="2" applyNumberFormat="1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43" fontId="0" fillId="2" borderId="33" xfId="1" applyFont="1" applyFill="1" applyBorder="1" applyAlignment="1">
      <alignment vertical="center"/>
    </xf>
    <xf numFmtId="43" fontId="0" fillId="2" borderId="34" xfId="1" applyFont="1" applyFill="1" applyBorder="1" applyAlignment="1">
      <alignment vertical="center"/>
    </xf>
    <xf numFmtId="2" fontId="0" fillId="2" borderId="0" xfId="0" applyNumberFormat="1" applyFill="1" applyAlignment="1">
      <alignment vertical="center"/>
    </xf>
    <xf numFmtId="43" fontId="2" fillId="2" borderId="35" xfId="1" applyFont="1" applyFill="1" applyBorder="1" applyAlignment="1">
      <alignment vertical="center"/>
    </xf>
    <xf numFmtId="43" fontId="2" fillId="2" borderId="36" xfId="1" applyFont="1" applyFill="1" applyBorder="1" applyAlignment="1">
      <alignment vertical="center"/>
    </xf>
    <xf numFmtId="49" fontId="4" fillId="2" borderId="11" xfId="0" quotePrefix="1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right" vertical="center"/>
    </xf>
    <xf numFmtId="0" fontId="8" fillId="3" borderId="14" xfId="0" applyFont="1" applyFill="1" applyBorder="1" applyAlignment="1">
      <alignment horizontal="right" vertical="center"/>
    </xf>
    <xf numFmtId="0" fontId="8" fillId="3" borderId="14" xfId="0" applyFont="1" applyFill="1" applyBorder="1" applyAlignment="1">
      <alignment horizontal="left" vertical="center"/>
    </xf>
    <xf numFmtId="0" fontId="8" fillId="3" borderId="15" xfId="0" applyFont="1" applyFill="1" applyBorder="1" applyAlignment="1">
      <alignment horizontal="left" vertical="center"/>
    </xf>
    <xf numFmtId="0" fontId="0" fillId="2" borderId="29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Vírgula" xfId="1" builtinId="3"/>
    <cellStyle name="Vírgula 3 2" xfId="3" xr:uid="{D63D95D0-994E-47FB-91A6-43F071D8CF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168091</xdr:colOff>
      <xdr:row>0</xdr:row>
      <xdr:rowOff>156882</xdr:rowOff>
    </xdr:from>
    <xdr:to>
      <xdr:col>1</xdr:col>
      <xdr:colOff>448235</xdr:colOff>
      <xdr:row>2</xdr:row>
      <xdr:rowOff>152400</xdr:rowOff>
    </xdr:to>
    <xdr:pic>
      <xdr:nvPicPr>
        <xdr:cNvPr id="2" name="Picture 1785">
          <a:extLst>
            <a:ext uri="{FF2B5EF4-FFF2-40B4-BE49-F238E27FC236}">
              <a16:creationId xmlns:a16="http://schemas.microsoft.com/office/drawing/2014/main" id="{427C4631-7022-4D26-A76F-1D4C37647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68091" y="156882"/>
          <a:ext cx="912604" cy="4984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icita&#231;&#245;es/Propostas%20Diversas/OBRAS%20E%20SERVI&#199;OS/DIRECIONAL%20ENGENHARIA/CONTROLE%20DE%20OBRAS/ABASTECIMENTO%20E%20PRODU&#199;&#195;O/CONTROLE%20-%20PAULO/2013/12_Abastecimento%20e%20Produ&#231;&#227;o%20(DEZEMBRO%20FINAL).xlsx" TargetMode="External"/><Relationship Id="rId1" Type="http://schemas.openxmlformats.org/officeDocument/2006/relationships/externalLinkPath" Target="/Licita&#231;&#245;es/Propostas%20Diversas/OBRAS%20E%20SERVI&#199;OS/DIRECIONAL%20ENGENHARIA/CONTROLE%20DE%20OBRAS/ABASTECIMENTO%20E%20PRODU&#199;&#195;O/CONTROLE%20-%20PAULO/2013/12_Abastecimento%20e%20Produ&#231;&#227;o%20(DEZEMBRO%20FINAL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Leo%20Ribeiro\Desktop\MOVIMENTO%20DE%20MATERIAL2%20ULTIMA%20VERSAO%2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DASTRO"/>
      <sheetName val="POSTO"/>
      <sheetName val="MELOSA"/>
      <sheetName val="CARRADAS ASFALTO"/>
      <sheetName val="RESUMOS --&gt;"/>
      <sheetName val="FORNECEDOR 01"/>
      <sheetName val="FORNECEDOR 02"/>
      <sheetName val="PRODUÇÃO (2)"/>
      <sheetName val="PRODUÇÃO"/>
      <sheetName val="ABAST. GERAL"/>
      <sheetName val="FINANCEIRO"/>
      <sheetName val="J1"/>
      <sheetName val="J2"/>
      <sheetName val="DIVERSOS"/>
      <sheetName val="CAÇAMBAS --&gt;"/>
      <sheetName val="04"/>
      <sheetName val="05"/>
      <sheetName val="06"/>
      <sheetName val="07"/>
      <sheetName val="08"/>
      <sheetName val="09"/>
      <sheetName val="13"/>
      <sheetName val="14"/>
      <sheetName val="18"/>
      <sheetName val="CB'S PENDENTES --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10">
          <cell r="G10">
            <v>12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A GERALDEZEMBRO"/>
      <sheetName val="MAPA GERAL janeiro (3)"/>
      <sheetName val="CADASTRO DE CACAMBA"/>
      <sheetName val="reciboX"/>
      <sheetName val="recibo 1 "/>
      <sheetName val="recibo 2"/>
      <sheetName val="recibo 3"/>
      <sheetName val="recibo 2 E 3"/>
      <sheetName val="recibo SAVIO "/>
      <sheetName val="recibo 4"/>
      <sheetName val="recibo 5"/>
      <sheetName val="recibo 6"/>
      <sheetName val="recibo 7"/>
      <sheetName val="recibo 8"/>
      <sheetName val="recibo 9"/>
      <sheetName val="recibo 10"/>
      <sheetName val="recibo 11"/>
      <sheetName val="recibo 12"/>
      <sheetName val="recibo 13"/>
      <sheetName val="recibo 14"/>
      <sheetName val="recibo 15"/>
      <sheetName val="recibo 16"/>
      <sheetName val="recibo 17"/>
      <sheetName val="recibo 18"/>
      <sheetName val="recibo 19"/>
      <sheetName val="recibo 20"/>
      <sheetName val="recibo 21"/>
      <sheetName val="recibo 22"/>
      <sheetName val="recibo 23"/>
      <sheetName val="DESCONTOS CACAMBA JAN"/>
      <sheetName val="DESCONTOS DEZMBRO"/>
      <sheetName val="DESCONTOS PIPAS"/>
      <sheetName val="19_12"/>
      <sheetName val="20_12"/>
      <sheetName val="22_12"/>
      <sheetName val="23_12"/>
      <sheetName val="24_12"/>
      <sheetName val="26_12"/>
      <sheetName val="27_12"/>
      <sheetName val="28_12"/>
      <sheetName val="29_12"/>
      <sheetName val="30_12"/>
      <sheetName val="02_01"/>
      <sheetName val="MAPA GERAL janeiro"/>
      <sheetName val="MAPA GERAL janeiro (2)"/>
      <sheetName val="RESUMO POR DIA"/>
      <sheetName val="RESUMO POR CACAMBA"/>
      <sheetName val="RESUMO POR CACAMBA DIA"/>
    </sheetNames>
    <sheetDataSet>
      <sheetData sheetId="0"/>
      <sheetData sheetId="1"/>
      <sheetData sheetId="2">
        <row r="7">
          <cell r="A7">
            <v>1</v>
          </cell>
          <cell r="B7" t="str">
            <v xml:space="preserve">VOLVO </v>
          </cell>
          <cell r="C7" t="str">
            <v>NL10</v>
          </cell>
          <cell r="D7" t="str">
            <v>MMO-6587</v>
          </cell>
          <cell r="E7" t="str">
            <v>JOSE MILTON ALVES LIMA</v>
          </cell>
          <cell r="F7" t="str">
            <v>ZE</v>
          </cell>
          <cell r="G7">
            <v>15</v>
          </cell>
          <cell r="H7">
            <v>15</v>
          </cell>
          <cell r="I7" t="str">
            <v>JOSE MILTON ALVES LIMA</v>
          </cell>
          <cell r="J7" t="str">
            <v>509.591.153-15</v>
          </cell>
          <cell r="K7">
            <v>2000010266365</v>
          </cell>
          <cell r="L7">
            <v>12504339242</v>
          </cell>
          <cell r="M7" t="str">
            <v>88 99533616</v>
          </cell>
          <cell r="N7" t="str">
            <v>-</v>
          </cell>
          <cell r="O7" t="str">
            <v>-</v>
          </cell>
          <cell r="P7" t="str">
            <v>JOSE MILTON ALVES LIMA</v>
          </cell>
          <cell r="Q7" t="str">
            <v>509.591.153-15</v>
          </cell>
          <cell r="R7">
            <v>12504339242</v>
          </cell>
          <cell r="S7" t="str">
            <v>BANCO DO BRASIL</v>
          </cell>
          <cell r="T7" t="str">
            <v>2701-4</v>
          </cell>
          <cell r="U7" t="str">
            <v>10917-7</v>
          </cell>
          <cell r="V7" t="str">
            <v>CORRENTE</v>
          </cell>
          <cell r="W7" t="str">
            <v>-</v>
          </cell>
          <cell r="X7">
            <v>187</v>
          </cell>
          <cell r="Y7">
            <v>6216.68</v>
          </cell>
          <cell r="Z7">
            <v>1850</v>
          </cell>
          <cell r="AA7">
            <v>2608.5</v>
          </cell>
          <cell r="AB7">
            <v>82.5</v>
          </cell>
          <cell r="AD7">
            <v>3525.6800000000003</v>
          </cell>
          <cell r="AE7">
            <v>70.510000000000005</v>
          </cell>
          <cell r="AF7">
            <v>77.56</v>
          </cell>
          <cell r="AG7">
            <v>3377.61</v>
          </cell>
        </row>
        <row r="8">
          <cell r="A8">
            <v>2</v>
          </cell>
          <cell r="B8" t="str">
            <v>MERCEDES</v>
          </cell>
          <cell r="C8">
            <v>1513</v>
          </cell>
          <cell r="D8" t="str">
            <v>HWK-3678</v>
          </cell>
          <cell r="E8" t="str">
            <v>FCO DE ASSIS GOMES FREIRE</v>
          </cell>
          <cell r="F8" t="str">
            <v>XIBITA</v>
          </cell>
          <cell r="G8">
            <v>11.16</v>
          </cell>
          <cell r="H8">
            <v>12</v>
          </cell>
          <cell r="I8" t="str">
            <v>FCO LIZENIDO COSTA</v>
          </cell>
          <cell r="J8" t="str">
            <v>220.574.122-53</v>
          </cell>
          <cell r="K8">
            <v>355892</v>
          </cell>
          <cell r="M8" t="str">
            <v>88 99644674</v>
          </cell>
          <cell r="N8" t="str">
            <v>88 423 4847</v>
          </cell>
          <cell r="O8" t="str">
            <v>-</v>
          </cell>
          <cell r="P8" t="str">
            <v>FCO LIZENIDO COSTA</v>
          </cell>
          <cell r="Q8" t="str">
            <v>220.574.122-53</v>
          </cell>
          <cell r="R8" t="str">
            <v>12153128708</v>
          </cell>
          <cell r="S8" t="str">
            <v>CAIXA ECONOMICA</v>
          </cell>
          <cell r="T8" t="str">
            <v>0750-SD</v>
          </cell>
          <cell r="U8" t="str">
            <v>0061956-6</v>
          </cell>
          <cell r="V8" t="str">
            <v>POUPANÇA</v>
          </cell>
          <cell r="W8">
            <v>13</v>
          </cell>
          <cell r="X8">
            <v>169</v>
          </cell>
          <cell r="Y8">
            <v>4528.5600000000004</v>
          </cell>
          <cell r="Z8">
            <v>1452</v>
          </cell>
          <cell r="AA8">
            <v>2047.32</v>
          </cell>
          <cell r="AB8">
            <v>84</v>
          </cell>
          <cell r="AD8">
            <v>2397.2400000000007</v>
          </cell>
          <cell r="AE8">
            <v>47.94</v>
          </cell>
          <cell r="AF8">
            <v>52.74</v>
          </cell>
          <cell r="AG8">
            <v>2296.5600000000009</v>
          </cell>
        </row>
        <row r="9">
          <cell r="A9">
            <v>3</v>
          </cell>
          <cell r="B9" t="str">
            <v>MERCEDES</v>
          </cell>
          <cell r="D9" t="str">
            <v>JKR-5440</v>
          </cell>
          <cell r="E9" t="str">
            <v>JOÃO EUDES</v>
          </cell>
          <cell r="F9" t="str">
            <v>XIBITA</v>
          </cell>
          <cell r="G9">
            <v>12</v>
          </cell>
          <cell r="H9">
            <v>12</v>
          </cell>
          <cell r="I9" t="str">
            <v>FCO LIZENIDO COSTA</v>
          </cell>
          <cell r="J9" t="str">
            <v>220.574.122-53</v>
          </cell>
          <cell r="K9">
            <v>355892</v>
          </cell>
          <cell r="M9" t="str">
            <v>88 99644674</v>
          </cell>
          <cell r="N9" t="str">
            <v>88 423 4847</v>
          </cell>
          <cell r="O9" t="str">
            <v>-</v>
          </cell>
          <cell r="P9" t="str">
            <v>ADELAIDE GOMES DA SILVA</v>
          </cell>
          <cell r="Q9" t="str">
            <v>285.948.192-34</v>
          </cell>
          <cell r="R9" t="str">
            <v>11957721710</v>
          </cell>
          <cell r="S9" t="str">
            <v>CAIXA ECONOMICA</v>
          </cell>
          <cell r="T9" t="str">
            <v>0750-SD</v>
          </cell>
          <cell r="U9" t="str">
            <v>00062604-0</v>
          </cell>
          <cell r="V9" t="str">
            <v>POUPANÇA</v>
          </cell>
          <cell r="W9">
            <v>13</v>
          </cell>
          <cell r="X9">
            <v>166</v>
          </cell>
          <cell r="Y9">
            <v>4436.1400000000003</v>
          </cell>
          <cell r="Z9">
            <v>1120</v>
          </cell>
          <cell r="AA9">
            <v>1579.2</v>
          </cell>
          <cell r="AB9">
            <v>86.5</v>
          </cell>
          <cell r="AD9">
            <v>2770.4400000000005</v>
          </cell>
          <cell r="AE9">
            <v>55.41</v>
          </cell>
          <cell r="AF9">
            <v>60.95</v>
          </cell>
          <cell r="AG9">
            <v>2654.0800000000008</v>
          </cell>
        </row>
        <row r="10">
          <cell r="A10">
            <v>4</v>
          </cell>
          <cell r="B10" t="str">
            <v>MERCEDES</v>
          </cell>
          <cell r="D10" t="str">
            <v>HUK-4839</v>
          </cell>
          <cell r="E10" t="str">
            <v>FCO LINDJALVA SILVA VIEIRA</v>
          </cell>
          <cell r="F10" t="str">
            <v>IRMAO</v>
          </cell>
          <cell r="G10">
            <v>11.1</v>
          </cell>
          <cell r="H10">
            <v>12</v>
          </cell>
          <cell r="I10" t="str">
            <v>MARIA ARIDINA NUNES HOLANDA</v>
          </cell>
          <cell r="J10" t="str">
            <v>230.304.613-00</v>
          </cell>
          <cell r="L10" t="str">
            <v>10965053536</v>
          </cell>
          <cell r="N10" t="str">
            <v>88 423 1230</v>
          </cell>
          <cell r="O10" t="str">
            <v>88 423 1654</v>
          </cell>
          <cell r="P10" t="str">
            <v>MARIA ARIDINA NUNES HOLANDA</v>
          </cell>
          <cell r="Q10" t="str">
            <v>230.304.613-00</v>
          </cell>
          <cell r="R10" t="str">
            <v>10965053536</v>
          </cell>
          <cell r="S10" t="str">
            <v>CAIXA ECONOMICA</v>
          </cell>
          <cell r="T10" t="str">
            <v>0750-SD</v>
          </cell>
          <cell r="U10" t="str">
            <v>399-1</v>
          </cell>
          <cell r="V10" t="str">
            <v>CORRENTE</v>
          </cell>
          <cell r="W10">
            <v>3</v>
          </cell>
          <cell r="X10">
            <v>203</v>
          </cell>
          <cell r="Y10">
            <v>5402.97</v>
          </cell>
          <cell r="Z10">
            <v>1525</v>
          </cell>
          <cell r="AA10">
            <v>2150.25</v>
          </cell>
          <cell r="AB10">
            <v>81</v>
          </cell>
          <cell r="AD10">
            <v>3171.7200000000003</v>
          </cell>
          <cell r="AE10">
            <v>63.43</v>
          </cell>
          <cell r="AF10">
            <v>69.78</v>
          </cell>
          <cell r="AG10">
            <v>3038.51</v>
          </cell>
        </row>
        <row r="11">
          <cell r="A11">
            <v>5</v>
          </cell>
          <cell r="B11" t="str">
            <v>MERCEDES</v>
          </cell>
          <cell r="C11" t="str">
            <v>1519</v>
          </cell>
          <cell r="D11" t="str">
            <v>HUP-3080</v>
          </cell>
          <cell r="E11" t="str">
            <v>FCO ASSIS FERNANDES</v>
          </cell>
          <cell r="G11">
            <v>12.3</v>
          </cell>
          <cell r="H11">
            <v>12</v>
          </cell>
          <cell r="I11" t="str">
            <v>FCO DE ASSIS FERNANDES</v>
          </cell>
          <cell r="J11" t="str">
            <v>001.799.678-35</v>
          </cell>
          <cell r="K11">
            <v>8714669</v>
          </cell>
          <cell r="M11" t="str">
            <v>85 9604 4898</v>
          </cell>
          <cell r="N11" t="str">
            <v>88 576 1815</v>
          </cell>
          <cell r="O11" t="str">
            <v>88 568 0455</v>
          </cell>
          <cell r="P11" t="str">
            <v>FCO WERMESON BRIGIDO FERNANDES</v>
          </cell>
          <cell r="Q11" t="str">
            <v>922.846.553-00</v>
          </cell>
          <cell r="R11" t="str">
            <v>11962119470</v>
          </cell>
          <cell r="S11" t="str">
            <v>BRADESCO</v>
          </cell>
          <cell r="T11" t="str">
            <v>1593-8</v>
          </cell>
          <cell r="U11" t="str">
            <v>0590098</v>
          </cell>
          <cell r="V11" t="str">
            <v>CORRENTE</v>
          </cell>
          <cell r="W11" t="str">
            <v>-</v>
          </cell>
          <cell r="X11">
            <v>91</v>
          </cell>
          <cell r="Y11">
            <v>2433.91</v>
          </cell>
          <cell r="Z11">
            <v>836</v>
          </cell>
          <cell r="AA11">
            <v>1178.76</v>
          </cell>
          <cell r="AB11">
            <v>89</v>
          </cell>
          <cell r="AD11">
            <v>1166.1499999999999</v>
          </cell>
          <cell r="AE11">
            <v>23.32</v>
          </cell>
          <cell r="AF11">
            <v>25.66</v>
          </cell>
          <cell r="AG11">
            <v>1117.1699999999998</v>
          </cell>
        </row>
        <row r="12">
          <cell r="A12">
            <v>6</v>
          </cell>
          <cell r="B12" t="str">
            <v>MERCEDES</v>
          </cell>
          <cell r="C12" t="str">
            <v>1519</v>
          </cell>
          <cell r="D12" t="str">
            <v>CLK-2149</v>
          </cell>
          <cell r="E12" t="str">
            <v>VANDERLANE SERGIO SOARES</v>
          </cell>
          <cell r="G12">
            <v>12</v>
          </cell>
          <cell r="H12">
            <v>12</v>
          </cell>
          <cell r="I12" t="str">
            <v>JOSE NECO DE OLIVEIRA</v>
          </cell>
          <cell r="M12" t="str">
            <v>88 9972 0945</v>
          </cell>
          <cell r="N12" t="str">
            <v>88 422 4007</v>
          </cell>
          <cell r="O12" t="str">
            <v>88 3422 2545</v>
          </cell>
          <cell r="P12" t="str">
            <v>JOSE NECO DE OLIVEIRA</v>
          </cell>
          <cell r="S12" t="str">
            <v>BANCO DO BRASIL</v>
          </cell>
          <cell r="T12" t="str">
            <v>863-X</v>
          </cell>
          <cell r="U12" t="str">
            <v>20807-8</v>
          </cell>
          <cell r="V12" t="str">
            <v>CORRENTE</v>
          </cell>
          <cell r="W12" t="str">
            <v>-</v>
          </cell>
          <cell r="X12">
            <v>59</v>
          </cell>
          <cell r="Y12">
            <v>1590.95</v>
          </cell>
          <cell r="Z12">
            <v>758</v>
          </cell>
          <cell r="AA12">
            <v>1068.78</v>
          </cell>
          <cell r="AB12">
            <v>42.5</v>
          </cell>
          <cell r="AD12">
            <v>479.67000000000007</v>
          </cell>
          <cell r="AE12">
            <v>9.59</v>
          </cell>
          <cell r="AF12">
            <v>10.55</v>
          </cell>
          <cell r="AG12">
            <v>459.53000000000009</v>
          </cell>
        </row>
        <row r="13">
          <cell r="A13">
            <v>7</v>
          </cell>
          <cell r="B13" t="str">
            <v>GMC</v>
          </cell>
          <cell r="C13" t="str">
            <v>14190</v>
          </cell>
          <cell r="D13" t="str">
            <v>HOY-0133</v>
          </cell>
          <cell r="E13" t="str">
            <v>JOAQUIM CHAGAS NETO</v>
          </cell>
          <cell r="G13">
            <v>11.8</v>
          </cell>
          <cell r="H13">
            <v>12</v>
          </cell>
          <cell r="I13" t="str">
            <v>JOAQUIM CHAGAS NETO</v>
          </cell>
          <cell r="J13" t="str">
            <v>318.406.473-53</v>
          </cell>
          <cell r="K13">
            <v>34647882</v>
          </cell>
          <cell r="N13" t="str">
            <v>88 422 2118</v>
          </cell>
          <cell r="O13" t="str">
            <v>-</v>
          </cell>
          <cell r="P13" t="str">
            <v>MARIA ILZANIR CHAGAS</v>
          </cell>
          <cell r="Q13" t="str">
            <v>219.996.943-68</v>
          </cell>
          <cell r="S13" t="str">
            <v>BANCO DO BRASIL</v>
          </cell>
          <cell r="T13" t="str">
            <v>0863-X</v>
          </cell>
          <cell r="U13" t="str">
            <v>11610-6</v>
          </cell>
          <cell r="V13" t="str">
            <v>CORRENTE</v>
          </cell>
          <cell r="W13" t="str">
            <v>-</v>
          </cell>
          <cell r="X13">
            <v>154</v>
          </cell>
          <cell r="Y13">
            <v>4105.05</v>
          </cell>
          <cell r="Z13">
            <v>1311</v>
          </cell>
          <cell r="AA13">
            <v>1848.51</v>
          </cell>
          <cell r="AB13">
            <v>77</v>
          </cell>
          <cell r="AD13">
            <v>2179.54</v>
          </cell>
          <cell r="AE13">
            <v>43.59</v>
          </cell>
          <cell r="AF13">
            <v>47.95</v>
          </cell>
          <cell r="AG13">
            <v>2088</v>
          </cell>
        </row>
        <row r="14">
          <cell r="A14">
            <v>8</v>
          </cell>
          <cell r="B14" t="str">
            <v>GMC</v>
          </cell>
          <cell r="C14" t="str">
            <v>16220</v>
          </cell>
          <cell r="D14" t="str">
            <v>HVX-9050</v>
          </cell>
          <cell r="E14" t="str">
            <v>ANTONIO DE SOUSA FILHO</v>
          </cell>
          <cell r="F14" t="str">
            <v>AURI</v>
          </cell>
          <cell r="G14">
            <v>11.8</v>
          </cell>
          <cell r="H14">
            <v>12</v>
          </cell>
          <cell r="I14" t="str">
            <v>FCO SAMPAIO DE LUCENA</v>
          </cell>
          <cell r="J14" t="str">
            <v>072.553.223-87</v>
          </cell>
          <cell r="K14">
            <v>67921677</v>
          </cell>
          <cell r="L14">
            <v>10967430094</v>
          </cell>
          <cell r="N14" t="str">
            <v>88 5571128</v>
          </cell>
          <cell r="O14" t="str">
            <v>-</v>
          </cell>
          <cell r="P14" t="str">
            <v>FCO SAMPAIO DE LUCENA</v>
          </cell>
          <cell r="Q14" t="str">
            <v>072.553.223-87</v>
          </cell>
          <cell r="R14">
            <v>10967430094</v>
          </cell>
          <cell r="S14" t="str">
            <v>BANCO DO BRASIL</v>
          </cell>
          <cell r="T14" t="str">
            <v>2300-0</v>
          </cell>
          <cell r="U14" t="str">
            <v>9207-X</v>
          </cell>
          <cell r="V14" t="str">
            <v>CORRENTE</v>
          </cell>
          <cell r="W14" t="str">
            <v>-</v>
          </cell>
          <cell r="X14">
            <v>114</v>
          </cell>
          <cell r="Y14">
            <v>3068.4</v>
          </cell>
          <cell r="Z14">
            <v>770</v>
          </cell>
          <cell r="AA14">
            <v>1085.7</v>
          </cell>
          <cell r="AB14">
            <v>70.5</v>
          </cell>
          <cell r="AC14">
            <v>118.47</v>
          </cell>
          <cell r="AD14">
            <v>1793.73</v>
          </cell>
          <cell r="AE14">
            <v>35.869999999999997</v>
          </cell>
          <cell r="AF14">
            <v>39.46</v>
          </cell>
          <cell r="AG14">
            <v>1718.4</v>
          </cell>
        </row>
        <row r="15">
          <cell r="A15">
            <v>9</v>
          </cell>
          <cell r="B15" t="str">
            <v>VOLKS</v>
          </cell>
          <cell r="D15" t="str">
            <v>HWX-1877</v>
          </cell>
          <cell r="E15" t="str">
            <v>FCO SAMPAIO DE LUCENA</v>
          </cell>
          <cell r="F15" t="str">
            <v>AURI</v>
          </cell>
          <cell r="G15">
            <v>12.07</v>
          </cell>
          <cell r="H15">
            <v>12</v>
          </cell>
          <cell r="I15" t="str">
            <v>FCO IURY LIMA SAMPAIO</v>
          </cell>
          <cell r="J15" t="str">
            <v>003.944.253-59</v>
          </cell>
          <cell r="K15">
            <v>2001097095515</v>
          </cell>
          <cell r="L15" t="str">
            <v>13483159192</v>
          </cell>
          <cell r="N15" t="str">
            <v>88 5571128</v>
          </cell>
          <cell r="O15" t="str">
            <v>-</v>
          </cell>
          <cell r="P15" t="str">
            <v>FCO IURY LIMA SAMPAIO</v>
          </cell>
          <cell r="Q15" t="str">
            <v>003.944.253-59</v>
          </cell>
          <cell r="R15" t="str">
            <v>13483159192</v>
          </cell>
          <cell r="S15" t="str">
            <v>BANCO DO BRASIL</v>
          </cell>
          <cell r="T15" t="str">
            <v>2300-0</v>
          </cell>
          <cell r="U15" t="str">
            <v>7790-9</v>
          </cell>
          <cell r="V15" t="str">
            <v>CORRENTE</v>
          </cell>
          <cell r="W15" t="str">
            <v>-</v>
          </cell>
          <cell r="X15">
            <v>184</v>
          </cell>
          <cell r="Y15">
            <v>4931.91</v>
          </cell>
          <cell r="Z15">
            <v>1691</v>
          </cell>
          <cell r="AA15">
            <v>2384.31</v>
          </cell>
          <cell r="AB15">
            <v>143.5</v>
          </cell>
          <cell r="AD15">
            <v>2404.1</v>
          </cell>
          <cell r="AE15">
            <v>48.08</v>
          </cell>
          <cell r="AF15">
            <v>52.89</v>
          </cell>
          <cell r="AG15">
            <v>2303.13</v>
          </cell>
        </row>
        <row r="16">
          <cell r="A16">
            <v>10</v>
          </cell>
          <cell r="B16" t="str">
            <v>MERCEDES</v>
          </cell>
          <cell r="C16" t="str">
            <v>1519</v>
          </cell>
          <cell r="D16" t="str">
            <v>KHI-4279</v>
          </cell>
          <cell r="E16" t="str">
            <v>SERGIO ROLIN DUARTE</v>
          </cell>
          <cell r="F16" t="str">
            <v>DELTA</v>
          </cell>
          <cell r="G16">
            <v>12.03</v>
          </cell>
          <cell r="H16">
            <v>12</v>
          </cell>
          <cell r="I16" t="str">
            <v>JOSE ARIMATERIA MONTEIRO</v>
          </cell>
          <cell r="J16" t="str">
            <v>172.513.383-00</v>
          </cell>
          <cell r="L16" t="str">
            <v>1193663601</v>
          </cell>
          <cell r="N16" t="str">
            <v>88 553 1321</v>
          </cell>
          <cell r="O16">
            <v>2265763</v>
          </cell>
          <cell r="P16" t="str">
            <v>FCO ALMEIDA MOTA</v>
          </cell>
          <cell r="S16" t="str">
            <v>BANCO DO BRASIL</v>
          </cell>
          <cell r="T16" t="str">
            <v>2300-0</v>
          </cell>
          <cell r="U16" t="str">
            <v>17227-8</v>
          </cell>
          <cell r="V16" t="str">
            <v>CORRENTE</v>
          </cell>
          <cell r="W16" t="str">
            <v>-</v>
          </cell>
          <cell r="X16">
            <v>181</v>
          </cell>
          <cell r="Y16">
            <v>4848.6000000000004</v>
          </cell>
          <cell r="Z16">
            <v>1299</v>
          </cell>
          <cell r="AA16">
            <v>1831.59</v>
          </cell>
          <cell r="AB16">
            <v>73</v>
          </cell>
          <cell r="AD16">
            <v>2944.01</v>
          </cell>
          <cell r="AE16">
            <v>58.88</v>
          </cell>
          <cell r="AF16">
            <v>64.77</v>
          </cell>
          <cell r="AG16">
            <v>2820.36</v>
          </cell>
        </row>
        <row r="17">
          <cell r="A17">
            <v>11</v>
          </cell>
          <cell r="B17" t="str">
            <v>GMC</v>
          </cell>
          <cell r="D17" t="str">
            <v>MYL-0735</v>
          </cell>
          <cell r="E17" t="str">
            <v>JOSE UBIRATAN G.DOS SANTOS</v>
          </cell>
          <cell r="G17">
            <v>11.9</v>
          </cell>
          <cell r="H17">
            <v>12</v>
          </cell>
          <cell r="I17" t="str">
            <v>RAIMUNDO NONATO DE SOUSA</v>
          </cell>
          <cell r="J17" t="str">
            <v>261.427.673-15</v>
          </cell>
          <cell r="K17">
            <v>2001032047923</v>
          </cell>
          <cell r="L17">
            <v>10837232578</v>
          </cell>
          <cell r="M17" t="str">
            <v>88 99640252</v>
          </cell>
          <cell r="N17" t="str">
            <v>88 423 5389</v>
          </cell>
          <cell r="O17" t="str">
            <v>-</v>
          </cell>
          <cell r="P17" t="str">
            <v>RAIMUNDO NONATO DE SOUSA</v>
          </cell>
          <cell r="Q17" t="str">
            <v>261.427.673-15</v>
          </cell>
          <cell r="R17">
            <v>10837232578</v>
          </cell>
          <cell r="S17" t="str">
            <v>BANCO DO BRASIL</v>
          </cell>
          <cell r="T17" t="str">
            <v>2253-5</v>
          </cell>
          <cell r="U17" t="str">
            <v>11661-0</v>
          </cell>
          <cell r="V17" t="str">
            <v>CORRENTE</v>
          </cell>
          <cell r="W17" t="str">
            <v>-</v>
          </cell>
          <cell r="X17">
            <v>91</v>
          </cell>
          <cell r="Y17">
            <v>2430.98</v>
          </cell>
          <cell r="Z17">
            <v>1037</v>
          </cell>
          <cell r="AA17">
            <v>1462.17</v>
          </cell>
          <cell r="AB17">
            <v>51</v>
          </cell>
          <cell r="AC17">
            <v>112</v>
          </cell>
          <cell r="AD17">
            <v>805.81</v>
          </cell>
          <cell r="AE17">
            <v>16.12</v>
          </cell>
          <cell r="AF17">
            <v>17.73</v>
          </cell>
          <cell r="AG17">
            <v>771.95999999999992</v>
          </cell>
        </row>
        <row r="18">
          <cell r="A18">
            <v>12</v>
          </cell>
          <cell r="B18" t="str">
            <v>MERCEDES</v>
          </cell>
          <cell r="D18" t="str">
            <v>HUM-5996</v>
          </cell>
          <cell r="E18" t="str">
            <v>FCO FELIX DA SILVA NETO</v>
          </cell>
          <cell r="G18">
            <v>12.47</v>
          </cell>
          <cell r="H18">
            <v>13</v>
          </cell>
          <cell r="I18" t="str">
            <v>HORACIO DE CARVALHO NETO</v>
          </cell>
          <cell r="M18" t="str">
            <v>85 9931 4428</v>
          </cell>
          <cell r="N18" t="str">
            <v>84 357 0154</v>
          </cell>
          <cell r="O18" t="str">
            <v>-</v>
          </cell>
          <cell r="P18" t="str">
            <v>MARIA DO SOCORRO CARVALHO</v>
          </cell>
          <cell r="S18" t="str">
            <v>BANCO DO BRASIL</v>
          </cell>
          <cell r="T18" t="str">
            <v>1140-1</v>
          </cell>
          <cell r="U18" t="str">
            <v>10405-1</v>
          </cell>
          <cell r="V18" t="str">
            <v>CORRENTE</v>
          </cell>
          <cell r="W18" t="str">
            <v>-</v>
          </cell>
          <cell r="X18">
            <v>13</v>
          </cell>
          <cell r="Y18">
            <v>358.87</v>
          </cell>
          <cell r="Z18">
            <v>321</v>
          </cell>
          <cell r="AA18">
            <v>452.61</v>
          </cell>
          <cell r="AB18">
            <v>19.5</v>
          </cell>
          <cell r="AD18">
            <v>-113.24000000000001</v>
          </cell>
          <cell r="AE18">
            <v>-2.2599999999999998</v>
          </cell>
          <cell r="AF18">
            <v>-2.4900000000000002</v>
          </cell>
          <cell r="AG18">
            <v>-108.49000000000001</v>
          </cell>
        </row>
        <row r="19">
          <cell r="A19">
            <v>13</v>
          </cell>
          <cell r="B19" t="str">
            <v>MERCEDES</v>
          </cell>
          <cell r="C19" t="str">
            <v>1318</v>
          </cell>
          <cell r="D19" t="str">
            <v>HUM-8615</v>
          </cell>
          <cell r="E19" t="str">
            <v>VILMAR RODRIGUES VIANA</v>
          </cell>
          <cell r="G19">
            <v>11.73</v>
          </cell>
          <cell r="H19">
            <v>12</v>
          </cell>
          <cell r="I19" t="str">
            <v>VILMAR RODRIGUES VIANA JR</v>
          </cell>
          <cell r="J19" t="str">
            <v>873.381.493-73</v>
          </cell>
          <cell r="K19">
            <v>300295495</v>
          </cell>
          <cell r="L19">
            <v>12368517741</v>
          </cell>
          <cell r="N19" t="str">
            <v>88 424 1550</v>
          </cell>
          <cell r="O19" t="str">
            <v>-</v>
          </cell>
          <cell r="P19" t="str">
            <v>ILA MARIA DE MOURA BANDEIRA</v>
          </cell>
          <cell r="S19" t="str">
            <v>BEC</v>
          </cell>
          <cell r="T19" t="str">
            <v>42-SD</v>
          </cell>
          <cell r="U19" t="str">
            <v>10870-1</v>
          </cell>
          <cell r="V19" t="str">
            <v>CORRENTE</v>
          </cell>
          <cell r="W19" t="str">
            <v>-</v>
          </cell>
          <cell r="X19">
            <v>131</v>
          </cell>
          <cell r="Y19">
            <v>3494.46</v>
          </cell>
          <cell r="Z19">
            <v>952</v>
          </cell>
          <cell r="AA19">
            <v>1342.32</v>
          </cell>
          <cell r="AB19">
            <v>68</v>
          </cell>
          <cell r="AD19">
            <v>2084.1400000000003</v>
          </cell>
          <cell r="AE19">
            <v>41.68</v>
          </cell>
          <cell r="AF19">
            <v>45.85</v>
          </cell>
          <cell r="AG19">
            <v>1996.6100000000004</v>
          </cell>
        </row>
        <row r="20">
          <cell r="A20">
            <v>14</v>
          </cell>
          <cell r="B20" t="str">
            <v>MERCEDES</v>
          </cell>
          <cell r="C20" t="str">
            <v>1313</v>
          </cell>
          <cell r="D20" t="str">
            <v>HVS-4165</v>
          </cell>
          <cell r="E20" t="str">
            <v>EVERTON REGILO DA SILVA</v>
          </cell>
          <cell r="G20">
            <v>11.66</v>
          </cell>
          <cell r="H20">
            <v>12</v>
          </cell>
          <cell r="I20" t="str">
            <v>FCO ASSIS DA SILVA</v>
          </cell>
          <cell r="L20" t="str">
            <v>10954811329</v>
          </cell>
          <cell r="N20" t="str">
            <v>88 581 5029</v>
          </cell>
          <cell r="O20" t="str">
            <v>88 581 9105</v>
          </cell>
          <cell r="P20" t="str">
            <v>FCO ASSIS DA SILVA</v>
          </cell>
          <cell r="R20" t="str">
            <v>10954811329</v>
          </cell>
          <cell r="S20" t="str">
            <v>BEC</v>
          </cell>
          <cell r="T20" t="str">
            <v>55-SD</v>
          </cell>
          <cell r="U20" t="str">
            <v>030208-9</v>
          </cell>
          <cell r="V20" t="str">
            <v>CORRENTE</v>
          </cell>
          <cell r="W20" t="str">
            <v>-</v>
          </cell>
          <cell r="X20">
            <v>74</v>
          </cell>
          <cell r="Y20">
            <v>1976.58</v>
          </cell>
          <cell r="Z20">
            <v>564</v>
          </cell>
          <cell r="AA20">
            <v>795.24</v>
          </cell>
          <cell r="AB20">
            <v>95</v>
          </cell>
          <cell r="AD20">
            <v>1086.3399999999999</v>
          </cell>
          <cell r="AE20">
            <v>21.73</v>
          </cell>
          <cell r="AF20">
            <v>23.9</v>
          </cell>
          <cell r="AG20">
            <v>1040.7099999999998</v>
          </cell>
        </row>
        <row r="21">
          <cell r="A21">
            <v>15</v>
          </cell>
          <cell r="B21" t="str">
            <v>MERCEDES</v>
          </cell>
          <cell r="C21" t="str">
            <v>1519</v>
          </cell>
          <cell r="D21" t="str">
            <v>HVN-0311</v>
          </cell>
          <cell r="E21" t="str">
            <v>MANOEL ANT DO NASCIMENTO</v>
          </cell>
          <cell r="G21">
            <v>12.58</v>
          </cell>
          <cell r="H21">
            <v>13</v>
          </cell>
          <cell r="I21" t="str">
            <v>JOAO DE DEUS MAIA DE OLIVEIRA</v>
          </cell>
          <cell r="J21" t="str">
            <v>219.957.613-20</v>
          </cell>
          <cell r="K21">
            <v>93002237148</v>
          </cell>
          <cell r="L21" t="str">
            <v>11676697190</v>
          </cell>
          <cell r="M21" t="str">
            <v>85 9181 4508</v>
          </cell>
          <cell r="N21" t="str">
            <v>85 341 0154</v>
          </cell>
          <cell r="O21" t="str">
            <v>-</v>
          </cell>
          <cell r="P21" t="str">
            <v>JOAO DE DEUS MAIA DE OLIVEIRA</v>
          </cell>
          <cell r="Q21" t="str">
            <v>219.957.613-20</v>
          </cell>
          <cell r="R21" t="str">
            <v>11676697190</v>
          </cell>
          <cell r="S21" t="str">
            <v>CAIXA ECONOMICA</v>
          </cell>
          <cell r="T21" t="str">
            <v>1958-SD</v>
          </cell>
          <cell r="U21" t="str">
            <v>2535-6</v>
          </cell>
          <cell r="V21" t="str">
            <v>CORRENTE</v>
          </cell>
          <cell r="W21">
            <v>3</v>
          </cell>
          <cell r="X21">
            <v>79</v>
          </cell>
          <cell r="Y21">
            <v>2289.6799999999998</v>
          </cell>
          <cell r="Z21">
            <v>955</v>
          </cell>
          <cell r="AA21">
            <v>1346.55</v>
          </cell>
          <cell r="AB21">
            <v>83.5</v>
          </cell>
          <cell r="AD21">
            <v>859.62999999999988</v>
          </cell>
          <cell r="AE21">
            <v>17.190000000000001</v>
          </cell>
          <cell r="AF21">
            <v>18.91</v>
          </cell>
          <cell r="AG21">
            <v>823.52999999999986</v>
          </cell>
        </row>
        <row r="22">
          <cell r="A22">
            <v>16</v>
          </cell>
          <cell r="B22" t="str">
            <v>MERCEDES</v>
          </cell>
          <cell r="C22" t="str">
            <v>1313</v>
          </cell>
          <cell r="D22" t="str">
            <v>HUQ-1053</v>
          </cell>
          <cell r="E22" t="str">
            <v>ALDENOR SANTIAGO DE OLIVEIRA</v>
          </cell>
          <cell r="G22">
            <v>11.13</v>
          </cell>
          <cell r="H22">
            <v>12</v>
          </cell>
          <cell r="I22" t="str">
            <v>VANBERTO COSME DA COSTA</v>
          </cell>
          <cell r="M22" t="str">
            <v>88 9964 4100</v>
          </cell>
          <cell r="N22" t="str">
            <v>88 424 1560</v>
          </cell>
          <cell r="O22" t="str">
            <v>-</v>
          </cell>
          <cell r="P22" t="str">
            <v>ANTONIO ANGELO DE MENEZES REGIS</v>
          </cell>
          <cell r="Q22" t="str">
            <v>035.363.504-96</v>
          </cell>
          <cell r="R22" t="str">
            <v>12738147641</v>
          </cell>
          <cell r="S22" t="str">
            <v>BANCO DO NORDESTE</v>
          </cell>
          <cell r="T22" t="str">
            <v>112-SD</v>
          </cell>
          <cell r="U22" t="str">
            <v>2977-2</v>
          </cell>
          <cell r="V22" t="str">
            <v>POUPANCA</v>
          </cell>
          <cell r="W22" t="str">
            <v>-</v>
          </cell>
          <cell r="X22">
            <v>61</v>
          </cell>
          <cell r="Y22">
            <v>1774.57</v>
          </cell>
          <cell r="Z22">
            <v>610</v>
          </cell>
          <cell r="AA22">
            <v>860.1</v>
          </cell>
          <cell r="AB22">
            <v>45.5</v>
          </cell>
          <cell r="AD22">
            <v>868.96999999999991</v>
          </cell>
          <cell r="AE22">
            <v>17.38</v>
          </cell>
          <cell r="AF22">
            <v>19.12</v>
          </cell>
          <cell r="AG22">
            <v>832.46999999999991</v>
          </cell>
        </row>
        <row r="23">
          <cell r="A23">
            <v>17</v>
          </cell>
          <cell r="B23" t="str">
            <v>VOLKS</v>
          </cell>
          <cell r="D23" t="str">
            <v>HUL-1803</v>
          </cell>
          <cell r="E23" t="str">
            <v>DOMINGOS FERNANDES BENTO</v>
          </cell>
          <cell r="G23">
            <v>12.23</v>
          </cell>
          <cell r="H23">
            <v>12</v>
          </cell>
          <cell r="I23" t="str">
            <v>VILANI FREITAS PEDROSA</v>
          </cell>
          <cell r="J23" t="str">
            <v>194.549.613-49</v>
          </cell>
          <cell r="L23" t="str">
            <v>11667742080</v>
          </cell>
          <cell r="N23" t="str">
            <v>88 583 1505</v>
          </cell>
          <cell r="O23" t="str">
            <v>88 583 1111</v>
          </cell>
          <cell r="P23" t="str">
            <v>VILANI FREITAS PEDROSA</v>
          </cell>
          <cell r="Q23" t="str">
            <v>194.549.613-49</v>
          </cell>
          <cell r="R23" t="str">
            <v>11667742080</v>
          </cell>
          <cell r="S23" t="str">
            <v>BANCO DO BRASIL</v>
          </cell>
          <cell r="T23" t="str">
            <v>0758-7</v>
          </cell>
          <cell r="U23" t="str">
            <v>14118-6</v>
          </cell>
          <cell r="V23" t="str">
            <v>CORRENTE</v>
          </cell>
          <cell r="W23" t="str">
            <v>-</v>
          </cell>
          <cell r="X23">
            <v>54</v>
          </cell>
          <cell r="Y23">
            <v>1449.05</v>
          </cell>
          <cell r="Z23">
            <v>500</v>
          </cell>
          <cell r="AA23">
            <v>705</v>
          </cell>
          <cell r="AB23">
            <v>62.5</v>
          </cell>
          <cell r="AD23">
            <v>681.55</v>
          </cell>
          <cell r="AE23">
            <v>13.63</v>
          </cell>
          <cell r="AF23">
            <v>14.99</v>
          </cell>
          <cell r="AG23">
            <v>652.92999999999995</v>
          </cell>
        </row>
        <row r="24">
          <cell r="A24">
            <v>18</v>
          </cell>
          <cell r="B24" t="str">
            <v>MERCEDES</v>
          </cell>
          <cell r="C24" t="str">
            <v>1932</v>
          </cell>
          <cell r="D24" t="str">
            <v>GKW-7436</v>
          </cell>
          <cell r="E24" t="str">
            <v>DILSON COSTA SANTOS</v>
          </cell>
          <cell r="F24" t="str">
            <v>NEGO</v>
          </cell>
          <cell r="G24">
            <v>14.38</v>
          </cell>
          <cell r="H24">
            <v>15</v>
          </cell>
          <cell r="I24" t="str">
            <v>DILSON COSTA SANTOS</v>
          </cell>
          <cell r="J24" t="str">
            <v>477.158.395-15</v>
          </cell>
          <cell r="K24">
            <v>3569590</v>
          </cell>
          <cell r="M24" t="str">
            <v>88 9955 4540</v>
          </cell>
          <cell r="N24" t="str">
            <v>-</v>
          </cell>
          <cell r="O24" t="str">
            <v>-</v>
          </cell>
          <cell r="P24" t="str">
            <v>DILSON COSTA SANTOS</v>
          </cell>
          <cell r="Q24" t="str">
            <v>477.158.395-15</v>
          </cell>
          <cell r="R24">
            <v>12417393400</v>
          </cell>
          <cell r="S24" t="str">
            <v>BANCO DO BRASIL</v>
          </cell>
          <cell r="T24" t="str">
            <v>1085-5</v>
          </cell>
          <cell r="U24" t="str">
            <v>6288-X</v>
          </cell>
          <cell r="V24" t="str">
            <v>CORRENTE</v>
          </cell>
          <cell r="W24" t="str">
            <v>-</v>
          </cell>
          <cell r="X24">
            <v>72</v>
          </cell>
          <cell r="Y24">
            <v>2389.37</v>
          </cell>
          <cell r="Z24">
            <v>1000</v>
          </cell>
          <cell r="AA24">
            <v>1410</v>
          </cell>
          <cell r="AB24">
            <v>38.5</v>
          </cell>
          <cell r="AD24">
            <v>940.86999999999989</v>
          </cell>
          <cell r="AE24">
            <v>18.82</v>
          </cell>
          <cell r="AF24">
            <v>20.7</v>
          </cell>
          <cell r="AG24">
            <v>901.3499999999998</v>
          </cell>
        </row>
        <row r="25">
          <cell r="A25">
            <v>19</v>
          </cell>
          <cell r="B25" t="str">
            <v>MERCEDES</v>
          </cell>
          <cell r="C25" t="str">
            <v>1518</v>
          </cell>
          <cell r="D25" t="str">
            <v>GMV-5347</v>
          </cell>
          <cell r="E25" t="str">
            <v>JONAS ALENCAR DE MEDEIROS</v>
          </cell>
          <cell r="F25" t="str">
            <v>JONAS</v>
          </cell>
          <cell r="G25">
            <v>11.7</v>
          </cell>
          <cell r="H25">
            <v>12</v>
          </cell>
          <cell r="I25" t="str">
            <v>JONAS ALENCAR DE MEDEIROS</v>
          </cell>
          <cell r="J25" t="str">
            <v>393.596.894-91</v>
          </cell>
          <cell r="K25">
            <v>1343229</v>
          </cell>
          <cell r="L25" t="str">
            <v>17005018557</v>
          </cell>
          <cell r="M25" t="str">
            <v>84 9979 5672</v>
          </cell>
          <cell r="N25" t="str">
            <v>84 424 0145</v>
          </cell>
          <cell r="O25" t="str">
            <v>-</v>
          </cell>
          <cell r="P25" t="str">
            <v>JONAS ALENCAR DE MEDEIROS</v>
          </cell>
          <cell r="Q25" t="str">
            <v>393.596.894-91</v>
          </cell>
          <cell r="R25" t="str">
            <v>17005018557</v>
          </cell>
          <cell r="S25" t="str">
            <v>BANCO DO BRASIL</v>
          </cell>
          <cell r="T25" t="str">
            <v>0128-0</v>
          </cell>
          <cell r="U25" t="str">
            <v>21235-0</v>
          </cell>
          <cell r="V25" t="str">
            <v>CORRENTE</v>
          </cell>
          <cell r="W25" t="str">
            <v>-</v>
          </cell>
          <cell r="X25">
            <v>88</v>
          </cell>
          <cell r="Y25">
            <v>2336.5700000000002</v>
          </cell>
          <cell r="Z25">
            <v>735</v>
          </cell>
          <cell r="AA25">
            <v>1036.3499999999999</v>
          </cell>
          <cell r="AB25">
            <v>66</v>
          </cell>
          <cell r="AD25">
            <v>1234.2200000000003</v>
          </cell>
          <cell r="AE25">
            <v>24.68</v>
          </cell>
          <cell r="AF25">
            <v>27.15</v>
          </cell>
          <cell r="AG25">
            <v>1182.3900000000001</v>
          </cell>
        </row>
        <row r="26">
          <cell r="A26">
            <v>20</v>
          </cell>
          <cell r="B26" t="str">
            <v>MERCEDES</v>
          </cell>
          <cell r="C26" t="str">
            <v>1518</v>
          </cell>
          <cell r="D26" t="str">
            <v>HTZ-6666</v>
          </cell>
          <cell r="E26" t="str">
            <v>NAPOLEAO MENDES MAIA</v>
          </cell>
          <cell r="G26">
            <v>12.5</v>
          </cell>
          <cell r="H26">
            <v>13</v>
          </cell>
          <cell r="I26" t="str">
            <v>NAPOLEAO MENDES MAIA</v>
          </cell>
          <cell r="J26" t="str">
            <v>076.584.043-68</v>
          </cell>
          <cell r="M26" t="str">
            <v>88 9953 1376</v>
          </cell>
          <cell r="N26" t="str">
            <v>-</v>
          </cell>
          <cell r="O26" t="str">
            <v>-</v>
          </cell>
          <cell r="P26" t="str">
            <v>NAPOLEAO MENDES MAIA</v>
          </cell>
          <cell r="Q26" t="str">
            <v>076.584.043-68</v>
          </cell>
          <cell r="S26" t="str">
            <v>CAIXA ECONOMICA</v>
          </cell>
          <cell r="T26" t="str">
            <v>0750-SD</v>
          </cell>
          <cell r="U26" t="str">
            <v>63182-5</v>
          </cell>
          <cell r="V26" t="str">
            <v>POUPANÇA</v>
          </cell>
          <cell r="W26">
            <v>13</v>
          </cell>
          <cell r="X26">
            <v>50</v>
          </cell>
          <cell r="Y26">
            <v>1497</v>
          </cell>
          <cell r="Z26">
            <v>327</v>
          </cell>
          <cell r="AA26">
            <v>461.07</v>
          </cell>
          <cell r="AB26">
            <v>0</v>
          </cell>
          <cell r="AD26">
            <v>1035.93</v>
          </cell>
          <cell r="AE26">
            <v>20.72</v>
          </cell>
          <cell r="AF26">
            <v>22.79</v>
          </cell>
          <cell r="AG26">
            <v>992.42000000000007</v>
          </cell>
        </row>
        <row r="27">
          <cell r="A27">
            <v>21</v>
          </cell>
          <cell r="B27" t="str">
            <v>MERCEDES</v>
          </cell>
          <cell r="C27" t="str">
            <v>1316</v>
          </cell>
          <cell r="D27" t="str">
            <v>MMT-0423</v>
          </cell>
          <cell r="E27" t="str">
            <v>ANTONIO NOGUEIRA LIMA</v>
          </cell>
          <cell r="G27">
            <v>11.1</v>
          </cell>
          <cell r="H27">
            <v>11.5</v>
          </cell>
          <cell r="I27" t="str">
            <v>ANTONIO NOGUEIRA LIMA</v>
          </cell>
          <cell r="M27" t="str">
            <v>88 9958 8328</v>
          </cell>
          <cell r="O27" t="str">
            <v>-</v>
          </cell>
          <cell r="P27" t="str">
            <v>ANTONIO NOGUEIRA LIMA</v>
          </cell>
          <cell r="W27" t="str">
            <v>-</v>
          </cell>
          <cell r="X27">
            <v>7</v>
          </cell>
          <cell r="Y27">
            <v>176.83</v>
          </cell>
          <cell r="Z27">
            <v>253</v>
          </cell>
          <cell r="AA27">
            <v>356.73</v>
          </cell>
          <cell r="AB27">
            <v>10.5</v>
          </cell>
          <cell r="AD27">
            <v>-190.4</v>
          </cell>
          <cell r="AE27">
            <v>-3.81</v>
          </cell>
          <cell r="AF27">
            <v>-4.1900000000000004</v>
          </cell>
          <cell r="AG27">
            <v>-182.4</v>
          </cell>
        </row>
        <row r="28">
          <cell r="A28">
            <v>22</v>
          </cell>
          <cell r="B28" t="str">
            <v>MERCEDES</v>
          </cell>
          <cell r="C28" t="str">
            <v>1618</v>
          </cell>
          <cell r="D28" t="str">
            <v>GMD-9835</v>
          </cell>
          <cell r="E28" t="str">
            <v>IVO SANTANA DE SOUSA</v>
          </cell>
          <cell r="G28">
            <v>11.59</v>
          </cell>
          <cell r="H28" t="str">
            <v>VIROU</v>
          </cell>
          <cell r="I28" t="str">
            <v>RDO OCIR PAIVA MORORO</v>
          </cell>
          <cell r="N28" t="str">
            <v>88 628 0238</v>
          </cell>
          <cell r="X28">
            <v>6</v>
          </cell>
          <cell r="Y28">
            <v>162.36000000000001</v>
          </cell>
          <cell r="Z28">
            <v>100</v>
          </cell>
          <cell r="AA28">
            <v>141</v>
          </cell>
          <cell r="AB28">
            <v>10.5</v>
          </cell>
          <cell r="AC28">
            <v>7</v>
          </cell>
          <cell r="AD28">
            <v>3.8600000000000136</v>
          </cell>
          <cell r="AE28">
            <v>0.08</v>
          </cell>
          <cell r="AF28">
            <v>0.08</v>
          </cell>
          <cell r="AG28">
            <v>3.7000000000000135</v>
          </cell>
        </row>
        <row r="29">
          <cell r="A29">
            <v>23</v>
          </cell>
        </row>
        <row r="30">
          <cell r="A30">
            <v>24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9352-1957-4255-8F03-32A80EC18B32}">
  <sheetPr codeName="Planilha11">
    <pageSetUpPr fitToPage="1"/>
  </sheetPr>
  <dimension ref="A1:M103"/>
  <sheetViews>
    <sheetView tabSelected="1" zoomScale="81" zoomScaleNormal="81" workbookViewId="0">
      <pane ySplit="7" topLeftCell="A28" activePane="bottomLeft" state="frozen"/>
      <selection activeCell="Q76" sqref="Q76:R76"/>
      <selection pane="bottomLeft" activeCell="H37" sqref="H37"/>
    </sheetView>
  </sheetViews>
  <sheetFormatPr defaultColWidth="9.21875" defaultRowHeight="14.4" x14ac:dyDescent="0.3"/>
  <cols>
    <col min="1" max="1" width="9.21875" style="33" bestFit="1" customWidth="1"/>
    <col min="2" max="2" width="10.21875" style="11" customWidth="1"/>
    <col min="3" max="3" width="16" style="11" customWidth="1"/>
    <col min="4" max="4" width="15.21875" style="33" customWidth="1"/>
    <col min="5" max="5" width="15.5546875" style="11" customWidth="1"/>
    <col min="6" max="6" width="28.21875" style="16" customWidth="1"/>
    <col min="7" max="7" width="18.88671875" style="16" customWidth="1"/>
    <col min="8" max="8" width="15.21875" style="16" customWidth="1"/>
    <col min="9" max="9" width="15.5546875" style="36" customWidth="1"/>
    <col min="10" max="10" width="10.5546875" style="36" customWidth="1"/>
    <col min="11" max="11" width="18.5546875" style="36" customWidth="1"/>
    <col min="12" max="12" width="14.77734375" style="11" bestFit="1" customWidth="1"/>
    <col min="13" max="13" width="23.77734375" style="11" customWidth="1"/>
    <col min="14" max="14" width="11.5546875" style="11" customWidth="1"/>
    <col min="15" max="20" width="9.21875" style="11"/>
    <col min="21" max="21" width="10.21875" style="11" bestFit="1" customWidth="1"/>
    <col min="22" max="16384" width="9.21875" style="11"/>
  </cols>
  <sheetData>
    <row r="1" spans="1:13" ht="20.100000000000001" customHeight="1" thickTop="1" x14ac:dyDescent="0.3">
      <c r="A1" s="1"/>
      <c r="B1" s="2"/>
      <c r="C1" s="3" t="s">
        <v>0</v>
      </c>
      <c r="D1" s="4"/>
      <c r="E1" s="5"/>
      <c r="F1" s="6"/>
      <c r="G1" s="6"/>
      <c r="H1" s="6"/>
      <c r="I1" s="7" t="s">
        <v>1</v>
      </c>
      <c r="J1" s="8"/>
      <c r="K1" s="6"/>
      <c r="L1" s="9" t="s">
        <v>2</v>
      </c>
      <c r="M1" s="10"/>
    </row>
    <row r="2" spans="1:13" ht="20.100000000000001" customHeight="1" x14ac:dyDescent="0.3">
      <c r="A2" s="12"/>
      <c r="B2" s="13"/>
      <c r="C2" s="14" t="s">
        <v>3</v>
      </c>
      <c r="D2" s="15"/>
      <c r="G2" s="17" t="s">
        <v>4</v>
      </c>
      <c r="H2" s="18"/>
      <c r="I2" s="19" t="s">
        <v>5</v>
      </c>
      <c r="J2" s="16"/>
      <c r="K2" s="20"/>
      <c r="L2" s="21" t="s">
        <v>6</v>
      </c>
      <c r="M2" s="22"/>
    </row>
    <row r="3" spans="1:13" ht="20.100000000000001" customHeight="1" thickBot="1" x14ac:dyDescent="0.35">
      <c r="A3" s="23"/>
      <c r="B3" s="24"/>
      <c r="C3" s="25" t="s">
        <v>7</v>
      </c>
      <c r="D3" s="100"/>
      <c r="E3" s="100"/>
      <c r="F3" s="26"/>
      <c r="G3" s="27" t="s">
        <v>8</v>
      </c>
      <c r="H3" s="28"/>
      <c r="I3" s="29" t="s">
        <v>9</v>
      </c>
      <c r="J3" s="30"/>
      <c r="K3" s="30"/>
      <c r="L3" s="31" t="s">
        <v>10</v>
      </c>
      <c r="M3" s="32"/>
    </row>
    <row r="4" spans="1:13" ht="9" customHeight="1" thickTop="1" thickBot="1" x14ac:dyDescent="0.35">
      <c r="D4" s="34"/>
      <c r="E4" s="35"/>
    </row>
    <row r="5" spans="1:13" ht="21" customHeight="1" thickTop="1" thickBot="1" x14ac:dyDescent="0.35">
      <c r="A5" s="101" t="s">
        <v>11</v>
      </c>
      <c r="B5" s="102"/>
      <c r="C5" s="102"/>
      <c r="D5" s="102"/>
      <c r="E5" s="102"/>
      <c r="F5" s="102"/>
      <c r="G5" s="102"/>
      <c r="H5" s="103"/>
      <c r="I5" s="103"/>
      <c r="J5" s="103"/>
      <c r="K5" s="103"/>
      <c r="L5" s="103"/>
      <c r="M5" s="104"/>
    </row>
    <row r="6" spans="1:13" ht="9" customHeight="1" thickTop="1" thickBot="1" x14ac:dyDescent="0.35">
      <c r="B6" s="37"/>
      <c r="C6" s="37"/>
      <c r="D6" s="38"/>
      <c r="E6" s="37"/>
      <c r="F6" s="30"/>
      <c r="G6" s="30"/>
      <c r="H6" s="30"/>
      <c r="I6" s="39"/>
      <c r="J6" s="39"/>
      <c r="K6" s="39"/>
      <c r="L6" s="37"/>
      <c r="M6" s="37"/>
    </row>
    <row r="7" spans="1:13" s="44" customFormat="1" ht="43.8" thickTop="1" x14ac:dyDescent="0.3">
      <c r="A7" s="40" t="s">
        <v>12</v>
      </c>
      <c r="B7" s="41" t="s">
        <v>13</v>
      </c>
      <c r="C7" s="41" t="s">
        <v>14</v>
      </c>
      <c r="D7" s="42" t="s">
        <v>15</v>
      </c>
      <c r="E7" s="42" t="s">
        <v>16</v>
      </c>
      <c r="F7" s="42" t="s">
        <v>17</v>
      </c>
      <c r="G7" s="42" t="s">
        <v>18</v>
      </c>
      <c r="H7" s="42" t="s">
        <v>19</v>
      </c>
      <c r="I7" s="42" t="s">
        <v>20</v>
      </c>
      <c r="J7" s="42" t="s">
        <v>21</v>
      </c>
      <c r="K7" s="42" t="s">
        <v>22</v>
      </c>
      <c r="L7" s="42" t="s">
        <v>23</v>
      </c>
      <c r="M7" s="43" t="s">
        <v>24</v>
      </c>
    </row>
    <row r="8" spans="1:13" s="57" customFormat="1" ht="18" customHeight="1" x14ac:dyDescent="0.3">
      <c r="A8" s="45"/>
      <c r="B8" s="46"/>
      <c r="C8" s="47"/>
      <c r="D8" s="48"/>
      <c r="E8" s="49"/>
      <c r="F8" s="49"/>
      <c r="G8" s="50"/>
      <c r="H8" s="51"/>
      <c r="I8" s="52"/>
      <c r="J8" s="53"/>
      <c r="K8" s="54" t="str">
        <f>IF(J8="","",I8*J8)</f>
        <v/>
      </c>
      <c r="L8" s="55"/>
      <c r="M8" s="56"/>
    </row>
    <row r="9" spans="1:13" s="57" customFormat="1" ht="18" customHeight="1" x14ac:dyDescent="0.3">
      <c r="A9" s="45"/>
      <c r="B9" s="46"/>
      <c r="C9" s="47"/>
      <c r="D9" s="48"/>
      <c r="E9" s="49"/>
      <c r="F9" s="49"/>
      <c r="G9" s="50"/>
      <c r="H9" s="51"/>
      <c r="I9" s="52"/>
      <c r="J9" s="53"/>
      <c r="K9" s="54" t="str">
        <f t="shared" ref="K9:K11" si="0">IF(J9="","",I9*J9)</f>
        <v/>
      </c>
      <c r="L9" s="55"/>
      <c r="M9" s="56"/>
    </row>
    <row r="10" spans="1:13" s="57" customFormat="1" ht="18" customHeight="1" x14ac:dyDescent="0.3">
      <c r="A10" s="45"/>
      <c r="B10" s="46"/>
      <c r="C10" s="47"/>
      <c r="D10" s="48"/>
      <c r="E10" s="49"/>
      <c r="F10" s="49"/>
      <c r="G10" s="50"/>
      <c r="H10" s="51"/>
      <c r="I10" s="52"/>
      <c r="J10" s="53"/>
      <c r="K10" s="54" t="str">
        <f t="shared" si="0"/>
        <v/>
      </c>
      <c r="L10" s="55"/>
      <c r="M10" s="56"/>
    </row>
    <row r="11" spans="1:13" s="57" customFormat="1" ht="18" customHeight="1" x14ac:dyDescent="0.3">
      <c r="A11" s="45"/>
      <c r="B11" s="46"/>
      <c r="C11" s="47"/>
      <c r="D11" s="48"/>
      <c r="E11" s="49"/>
      <c r="F11" s="49"/>
      <c r="G11" s="50"/>
      <c r="H11" s="51"/>
      <c r="I11" s="52"/>
      <c r="J11" s="53"/>
      <c r="K11" s="54" t="str">
        <f t="shared" si="0"/>
        <v/>
      </c>
      <c r="L11" s="55"/>
      <c r="M11" s="56"/>
    </row>
    <row r="12" spans="1:13" s="57" customFormat="1" ht="18" customHeight="1" x14ac:dyDescent="0.3">
      <c r="A12" s="45"/>
      <c r="B12" s="46"/>
      <c r="C12" s="47"/>
      <c r="D12" s="58"/>
      <c r="E12" s="49"/>
      <c r="F12" s="49"/>
      <c r="G12" s="50"/>
      <c r="H12" s="51"/>
      <c r="I12" s="52"/>
      <c r="J12" s="53"/>
      <c r="K12" s="54" t="str">
        <f>IF(J12="","",I12*J12)</f>
        <v/>
      </c>
      <c r="L12" s="55"/>
      <c r="M12" s="56"/>
    </row>
    <row r="13" spans="1:13" s="57" customFormat="1" ht="18" customHeight="1" x14ac:dyDescent="0.3">
      <c r="A13" s="45"/>
      <c r="B13" s="46"/>
      <c r="C13" s="47"/>
      <c r="D13" s="59"/>
      <c r="E13" s="49"/>
      <c r="F13" s="49"/>
      <c r="G13" s="50"/>
      <c r="H13" s="51"/>
      <c r="I13" s="52"/>
      <c r="J13" s="53"/>
      <c r="K13" s="54" t="str">
        <f t="shared" ref="K13:K20" si="1">IF(J13="","",I13*J13)</f>
        <v/>
      </c>
      <c r="L13" s="55"/>
      <c r="M13" s="56"/>
    </row>
    <row r="14" spans="1:13" s="57" customFormat="1" ht="18" customHeight="1" x14ac:dyDescent="0.3">
      <c r="A14" s="45"/>
      <c r="B14" s="46"/>
      <c r="C14" s="47"/>
      <c r="D14" s="59"/>
      <c r="E14" s="49"/>
      <c r="F14" s="49"/>
      <c r="G14" s="50"/>
      <c r="H14" s="51"/>
      <c r="I14" s="60"/>
      <c r="J14" s="53"/>
      <c r="K14" s="54" t="str">
        <f t="shared" si="1"/>
        <v/>
      </c>
      <c r="L14" s="61"/>
      <c r="M14" s="56"/>
    </row>
    <row r="15" spans="1:13" s="57" customFormat="1" ht="18" customHeight="1" x14ac:dyDescent="0.3">
      <c r="A15" s="45"/>
      <c r="B15" s="46"/>
      <c r="C15" s="47"/>
      <c r="D15" s="59"/>
      <c r="E15" s="49"/>
      <c r="F15" s="49"/>
      <c r="G15" s="50"/>
      <c r="H15" s="51"/>
      <c r="I15" s="60"/>
      <c r="J15" s="53"/>
      <c r="K15" s="54" t="str">
        <f t="shared" si="1"/>
        <v/>
      </c>
      <c r="L15" s="61"/>
      <c r="M15" s="56"/>
    </row>
    <row r="16" spans="1:13" s="57" customFormat="1" ht="18" customHeight="1" x14ac:dyDescent="0.3">
      <c r="A16" s="45"/>
      <c r="B16" s="46"/>
      <c r="C16" s="47"/>
      <c r="D16" s="59"/>
      <c r="E16" s="49"/>
      <c r="F16" s="49"/>
      <c r="G16" s="50"/>
      <c r="H16" s="51"/>
      <c r="I16" s="60"/>
      <c r="J16" s="53"/>
      <c r="K16" s="54" t="str">
        <f t="shared" si="1"/>
        <v/>
      </c>
      <c r="L16" s="61"/>
      <c r="M16" s="56"/>
    </row>
    <row r="17" spans="1:13" s="57" customFormat="1" ht="18" customHeight="1" x14ac:dyDescent="0.3">
      <c r="A17" s="45"/>
      <c r="B17" s="46"/>
      <c r="C17" s="47"/>
      <c r="D17" s="48"/>
      <c r="E17" s="49"/>
      <c r="F17" s="49"/>
      <c r="G17" s="50"/>
      <c r="H17" s="51"/>
      <c r="I17" s="60"/>
      <c r="J17" s="53"/>
      <c r="K17" s="54" t="str">
        <f t="shared" si="1"/>
        <v/>
      </c>
      <c r="L17" s="61"/>
      <c r="M17" s="56"/>
    </row>
    <row r="18" spans="1:13" s="57" customFormat="1" ht="18" customHeight="1" x14ac:dyDescent="0.3">
      <c r="A18" s="45"/>
      <c r="B18" s="46"/>
      <c r="C18" s="47"/>
      <c r="D18" s="48"/>
      <c r="E18" s="49"/>
      <c r="F18" s="49"/>
      <c r="G18" s="50"/>
      <c r="H18" s="51"/>
      <c r="I18" s="60"/>
      <c r="J18" s="53"/>
      <c r="K18" s="54" t="str">
        <f t="shared" si="1"/>
        <v/>
      </c>
      <c r="L18" s="61"/>
      <c r="M18" s="56"/>
    </row>
    <row r="19" spans="1:13" s="57" customFormat="1" ht="18" customHeight="1" x14ac:dyDescent="0.3">
      <c r="A19" s="45"/>
      <c r="B19" s="46"/>
      <c r="C19" s="47"/>
      <c r="D19" s="48"/>
      <c r="E19" s="49"/>
      <c r="F19" s="49"/>
      <c r="G19" s="50"/>
      <c r="H19" s="51"/>
      <c r="I19" s="60"/>
      <c r="J19" s="53"/>
      <c r="K19" s="54" t="str">
        <f t="shared" si="1"/>
        <v/>
      </c>
      <c r="L19" s="61"/>
      <c r="M19" s="56"/>
    </row>
    <row r="20" spans="1:13" s="57" customFormat="1" ht="18" customHeight="1" x14ac:dyDescent="0.3">
      <c r="A20" s="45"/>
      <c r="B20" s="46"/>
      <c r="C20" s="47"/>
      <c r="D20" s="48"/>
      <c r="E20" s="49"/>
      <c r="F20" s="49"/>
      <c r="G20" s="50"/>
      <c r="H20" s="51"/>
      <c r="I20" s="60"/>
      <c r="J20" s="53"/>
      <c r="K20" s="54" t="str">
        <f t="shared" si="1"/>
        <v/>
      </c>
      <c r="L20" s="61"/>
      <c r="M20" s="56"/>
    </row>
    <row r="21" spans="1:13" s="57" customFormat="1" ht="18" customHeight="1" thickBot="1" x14ac:dyDescent="0.35">
      <c r="A21" s="62"/>
      <c r="B21" s="63"/>
      <c r="C21" s="64"/>
      <c r="D21" s="65"/>
      <c r="E21" s="66"/>
      <c r="F21" s="66"/>
      <c r="G21" s="66"/>
      <c r="H21" s="66"/>
      <c r="I21" s="66"/>
      <c r="J21" s="66"/>
      <c r="K21" s="66"/>
      <c r="L21" s="67"/>
      <c r="M21" s="68"/>
    </row>
    <row r="22" spans="1:13" ht="15.75" customHeight="1" thickBot="1" x14ac:dyDescent="0.35">
      <c r="A22" s="69"/>
      <c r="B22" s="70"/>
      <c r="C22" s="71" t="s">
        <v>25</v>
      </c>
      <c r="D22" s="72"/>
      <c r="E22" s="70"/>
      <c r="F22" s="73"/>
      <c r="G22" s="73"/>
      <c r="H22" s="73"/>
      <c r="I22" s="74">
        <f>SUBTOTAL(9,I8:I21)</f>
        <v>0</v>
      </c>
      <c r="J22" s="75"/>
      <c r="K22" s="76">
        <f>SUBTOTAL(9,K8:K21)</f>
        <v>0</v>
      </c>
      <c r="L22" s="77" t="s">
        <v>25</v>
      </c>
      <c r="M22" s="78"/>
    </row>
    <row r="23" spans="1:13" ht="15.75" customHeight="1" x14ac:dyDescent="0.3">
      <c r="C23" s="79"/>
      <c r="I23" s="80"/>
      <c r="J23" s="81"/>
      <c r="K23" s="82"/>
      <c r="L23" s="83"/>
      <c r="M23" s="78"/>
    </row>
    <row r="24" spans="1:13" ht="15.75" customHeight="1" x14ac:dyDescent="0.3">
      <c r="H24" s="84"/>
      <c r="K24" s="85"/>
      <c r="M24" s="86"/>
    </row>
    <row r="25" spans="1:13" x14ac:dyDescent="0.3">
      <c r="D25" s="11"/>
      <c r="H25" s="84"/>
      <c r="K25" s="85"/>
      <c r="M25" s="87"/>
    </row>
    <row r="26" spans="1:13" x14ac:dyDescent="0.3">
      <c r="D26" s="11"/>
      <c r="H26" s="84"/>
      <c r="K26" s="85"/>
      <c r="M26" s="87"/>
    </row>
    <row r="27" spans="1:13" x14ac:dyDescent="0.3">
      <c r="H27" s="84"/>
      <c r="K27" s="85"/>
    </row>
    <row r="28" spans="1:13" x14ac:dyDescent="0.3">
      <c r="H28" s="84"/>
      <c r="K28" s="85"/>
    </row>
    <row r="29" spans="1:13" x14ac:dyDescent="0.3">
      <c r="H29" s="84"/>
      <c r="K29" s="85"/>
    </row>
    <row r="30" spans="1:13" x14ac:dyDescent="0.3">
      <c r="H30" s="84"/>
      <c r="K30" s="85"/>
    </row>
    <row r="31" spans="1:13" x14ac:dyDescent="0.3">
      <c r="H31" s="84"/>
      <c r="K31" s="85"/>
    </row>
    <row r="32" spans="1:13" x14ac:dyDescent="0.3">
      <c r="H32" s="84"/>
      <c r="K32" s="85"/>
    </row>
    <row r="33" spans="4:11" ht="15.6" x14ac:dyDescent="0.3">
      <c r="H33" s="84"/>
      <c r="I33" s="88" t="s">
        <v>26</v>
      </c>
      <c r="J33" s="89" t="s">
        <v>27</v>
      </c>
      <c r="K33" s="90">
        <f>SUMIFS($K$8:K28,$H$8:H28,J33)</f>
        <v>0</v>
      </c>
    </row>
    <row r="34" spans="4:11" ht="15.6" x14ac:dyDescent="0.3">
      <c r="H34" s="84"/>
      <c r="I34" s="91"/>
      <c r="J34" s="89" t="s">
        <v>28</v>
      </c>
      <c r="K34" s="90">
        <f>SUMIFS(K8:K28,H8:H28,J34)</f>
        <v>0</v>
      </c>
    </row>
    <row r="35" spans="4:11" ht="15.6" x14ac:dyDescent="0.3">
      <c r="H35" s="84"/>
      <c r="I35" s="91"/>
      <c r="J35" s="89" t="s">
        <v>29</v>
      </c>
      <c r="K35" s="91"/>
    </row>
    <row r="36" spans="4:11" ht="15" thickBot="1" x14ac:dyDescent="0.35">
      <c r="H36" s="84"/>
      <c r="K36" s="85"/>
    </row>
    <row r="37" spans="4:11" x14ac:dyDescent="0.3">
      <c r="E37" s="105">
        <f>D2</f>
        <v>0</v>
      </c>
      <c r="F37" s="106"/>
      <c r="H37" s="84"/>
      <c r="K37" s="85"/>
    </row>
    <row r="38" spans="4:11" x14ac:dyDescent="0.3">
      <c r="E38" s="107"/>
      <c r="F38" s="108"/>
      <c r="H38" s="84"/>
      <c r="K38" s="85"/>
    </row>
    <row r="39" spans="4:11" x14ac:dyDescent="0.3">
      <c r="E39" s="92" t="s">
        <v>30</v>
      </c>
      <c r="F39" s="93" t="s">
        <v>25</v>
      </c>
      <c r="H39" s="84"/>
      <c r="K39" s="85"/>
    </row>
    <row r="40" spans="4:11" x14ac:dyDescent="0.3">
      <c r="D40" s="94" t="s">
        <v>28</v>
      </c>
      <c r="E40" s="95">
        <f>SUMIFS($I$8:$I$28,$H$8:$H$28,$D40,$G$8:$G$28,E$37)</f>
        <v>0</v>
      </c>
      <c r="F40" s="96">
        <f>SUMIFS($K$8:$K$28,$H$8:$H$28,$D40,$G$8:$G$28,E$37)</f>
        <v>0</v>
      </c>
      <c r="H40" s="84"/>
      <c r="K40" s="85"/>
    </row>
    <row r="41" spans="4:11" x14ac:dyDescent="0.3">
      <c r="D41" s="94" t="s">
        <v>27</v>
      </c>
      <c r="E41" s="95">
        <f>SUMIFS($I$8:$I$28,$H$8:$H$28,$D41,$G$8:$G$28,E$37)</f>
        <v>0</v>
      </c>
      <c r="F41" s="96">
        <f>SUMIFS($K$8:$K$28,$H$8:$H$28,$D41,$G$8:$G$28,E$37)</f>
        <v>0</v>
      </c>
      <c r="H41" s="84"/>
      <c r="K41" s="85"/>
    </row>
    <row r="42" spans="4:11" x14ac:dyDescent="0.3">
      <c r="D42" s="94" t="s">
        <v>31</v>
      </c>
      <c r="E42" s="95">
        <f>SUMIFS($I$8:$I$28,$H$8:$H$28,$D42,$G$8:$G$28,E$37)</f>
        <v>0</v>
      </c>
      <c r="F42" s="96">
        <f>SUMIFS($K$8:$K$28,$H$8:$H$28,$D42,$G$8:$G$28,E$37)</f>
        <v>0</v>
      </c>
      <c r="H42" s="84"/>
      <c r="J42" s="97"/>
      <c r="K42" s="85"/>
    </row>
    <row r="43" spans="4:11" x14ac:dyDescent="0.3">
      <c r="D43" s="94" t="s">
        <v>32</v>
      </c>
      <c r="E43" s="95">
        <f>SUMIFS($I$8:$I$28,$H$8:$H$28,$D43,$G$8:$G$28,E$37)</f>
        <v>0</v>
      </c>
      <c r="F43" s="96">
        <f>SUMIFS($K$8:$K$28,$H$8:$H$28,$D43,$G$8:$G$28,E$37)</f>
        <v>0</v>
      </c>
      <c r="H43" s="84"/>
      <c r="K43" s="85"/>
    </row>
    <row r="44" spans="4:11" ht="15" thickBot="1" x14ac:dyDescent="0.35">
      <c r="D44" s="94" t="s">
        <v>33</v>
      </c>
      <c r="E44" s="95">
        <f>SUMIFS($I$8:$I$28,$H$8:$H$28,$D44,$G$8:$G$28,E$37)</f>
        <v>0</v>
      </c>
      <c r="F44" s="96">
        <f>SUMIFS($K$8:$K$28,$H$8:$H$28,$D44,$G$8:$G$28,E$37)</f>
        <v>0</v>
      </c>
      <c r="H44" s="84"/>
      <c r="K44" s="85"/>
    </row>
    <row r="45" spans="4:11" ht="15" thickBot="1" x14ac:dyDescent="0.35">
      <c r="E45" s="98">
        <f>SUBTOTAL(9,E40:E44)</f>
        <v>0</v>
      </c>
      <c r="F45" s="99">
        <f>SUM(F40:F44)</f>
        <v>0</v>
      </c>
      <c r="H45" s="84"/>
      <c r="K45" s="85"/>
    </row>
    <row r="46" spans="4:11" x14ac:dyDescent="0.3">
      <c r="H46" s="84"/>
      <c r="K46" s="85"/>
    </row>
    <row r="47" spans="4:11" x14ac:dyDescent="0.3">
      <c r="H47" s="84"/>
      <c r="K47" s="85"/>
    </row>
    <row r="48" spans="4:11" x14ac:dyDescent="0.3">
      <c r="H48" s="84"/>
      <c r="K48" s="85"/>
    </row>
    <row r="49" spans="8:11" x14ac:dyDescent="0.3">
      <c r="H49" s="84"/>
      <c r="K49" s="85"/>
    </row>
    <row r="50" spans="8:11" x14ac:dyDescent="0.3">
      <c r="H50" s="84"/>
      <c r="K50" s="85"/>
    </row>
    <row r="51" spans="8:11" x14ac:dyDescent="0.3">
      <c r="H51" s="84"/>
      <c r="K51" s="85"/>
    </row>
    <row r="52" spans="8:11" x14ac:dyDescent="0.3">
      <c r="H52" s="84"/>
      <c r="K52" s="85"/>
    </row>
    <row r="53" spans="8:11" x14ac:dyDescent="0.3">
      <c r="H53" s="84"/>
      <c r="K53" s="85"/>
    </row>
    <row r="54" spans="8:11" x14ac:dyDescent="0.3">
      <c r="H54" s="84"/>
      <c r="K54" s="85"/>
    </row>
    <row r="55" spans="8:11" x14ac:dyDescent="0.3">
      <c r="H55" s="84"/>
      <c r="K55" s="85"/>
    </row>
    <row r="56" spans="8:11" x14ac:dyDescent="0.3">
      <c r="H56" s="84"/>
      <c r="K56" s="85"/>
    </row>
    <row r="57" spans="8:11" x14ac:dyDescent="0.3">
      <c r="H57" s="84"/>
      <c r="K57" s="85"/>
    </row>
    <row r="58" spans="8:11" x14ac:dyDescent="0.3">
      <c r="H58" s="84"/>
      <c r="K58" s="85"/>
    </row>
    <row r="59" spans="8:11" x14ac:dyDescent="0.3">
      <c r="H59" s="84"/>
      <c r="K59" s="85"/>
    </row>
    <row r="60" spans="8:11" x14ac:dyDescent="0.3">
      <c r="H60" s="84"/>
      <c r="K60" s="85"/>
    </row>
    <row r="61" spans="8:11" x14ac:dyDescent="0.3">
      <c r="H61" s="84"/>
      <c r="K61" s="85"/>
    </row>
    <row r="62" spans="8:11" x14ac:dyDescent="0.3">
      <c r="H62" s="84"/>
      <c r="K62" s="85"/>
    </row>
    <row r="63" spans="8:11" x14ac:dyDescent="0.3">
      <c r="H63" s="84"/>
      <c r="K63" s="85"/>
    </row>
    <row r="64" spans="8:11" x14ac:dyDescent="0.3">
      <c r="H64" s="84"/>
      <c r="K64" s="85"/>
    </row>
    <row r="65" spans="8:11" x14ac:dyDescent="0.3">
      <c r="H65" s="84"/>
      <c r="K65" s="85"/>
    </row>
    <row r="66" spans="8:11" x14ac:dyDescent="0.3">
      <c r="H66" s="84"/>
      <c r="K66" s="85"/>
    </row>
    <row r="67" spans="8:11" x14ac:dyDescent="0.3">
      <c r="H67" s="84"/>
      <c r="K67" s="85"/>
    </row>
    <row r="68" spans="8:11" x14ac:dyDescent="0.3">
      <c r="H68" s="84"/>
      <c r="K68" s="85"/>
    </row>
    <row r="69" spans="8:11" x14ac:dyDescent="0.3">
      <c r="H69" s="84"/>
      <c r="K69" s="85"/>
    </row>
    <row r="70" spans="8:11" x14ac:dyDescent="0.3">
      <c r="H70" s="84"/>
      <c r="K70" s="85"/>
    </row>
    <row r="71" spans="8:11" x14ac:dyDescent="0.3">
      <c r="H71" s="84"/>
      <c r="K71" s="85"/>
    </row>
    <row r="72" spans="8:11" x14ac:dyDescent="0.3">
      <c r="H72" s="84"/>
      <c r="K72" s="85"/>
    </row>
    <row r="73" spans="8:11" x14ac:dyDescent="0.3">
      <c r="H73" s="84"/>
      <c r="K73" s="85"/>
    </row>
    <row r="74" spans="8:11" x14ac:dyDescent="0.3">
      <c r="H74" s="84"/>
      <c r="K74" s="85"/>
    </row>
    <row r="75" spans="8:11" x14ac:dyDescent="0.3">
      <c r="H75" s="84"/>
      <c r="K75" s="85"/>
    </row>
    <row r="76" spans="8:11" x14ac:dyDescent="0.3">
      <c r="H76" s="84"/>
      <c r="K76" s="85"/>
    </row>
    <row r="77" spans="8:11" x14ac:dyDescent="0.3">
      <c r="H77" s="84"/>
      <c r="K77" s="85"/>
    </row>
    <row r="78" spans="8:11" x14ac:dyDescent="0.3">
      <c r="H78" s="84"/>
      <c r="K78" s="85"/>
    </row>
    <row r="79" spans="8:11" x14ac:dyDescent="0.3">
      <c r="H79" s="84"/>
      <c r="K79" s="85"/>
    </row>
    <row r="80" spans="8:11" x14ac:dyDescent="0.3">
      <c r="H80" s="84"/>
      <c r="K80" s="85"/>
    </row>
    <row r="81" spans="8:11" x14ac:dyDescent="0.3">
      <c r="H81" s="84"/>
      <c r="K81" s="85"/>
    </row>
    <row r="82" spans="8:11" x14ac:dyDescent="0.3">
      <c r="H82" s="84"/>
      <c r="K82" s="85"/>
    </row>
    <row r="83" spans="8:11" x14ac:dyDescent="0.3">
      <c r="H83" s="84"/>
      <c r="K83" s="85"/>
    </row>
    <row r="84" spans="8:11" x14ac:dyDescent="0.3">
      <c r="H84" s="84"/>
      <c r="K84" s="85"/>
    </row>
    <row r="85" spans="8:11" x14ac:dyDescent="0.3">
      <c r="H85" s="84"/>
      <c r="K85" s="85"/>
    </row>
    <row r="86" spans="8:11" x14ac:dyDescent="0.3">
      <c r="H86" s="84"/>
      <c r="K86" s="85"/>
    </row>
    <row r="87" spans="8:11" x14ac:dyDescent="0.3">
      <c r="H87" s="84"/>
      <c r="K87" s="85"/>
    </row>
    <row r="88" spans="8:11" x14ac:dyDescent="0.3">
      <c r="H88" s="84"/>
      <c r="K88" s="85"/>
    </row>
    <row r="89" spans="8:11" x14ac:dyDescent="0.3">
      <c r="H89" s="84"/>
    </row>
    <row r="90" spans="8:11" x14ac:dyDescent="0.3">
      <c r="H90" s="84"/>
    </row>
    <row r="91" spans="8:11" x14ac:dyDescent="0.3">
      <c r="H91" s="84"/>
    </row>
    <row r="92" spans="8:11" x14ac:dyDescent="0.3">
      <c r="H92" s="84"/>
    </row>
    <row r="93" spans="8:11" x14ac:dyDescent="0.3">
      <c r="H93" s="84"/>
    </row>
    <row r="94" spans="8:11" x14ac:dyDescent="0.3">
      <c r="H94" s="84"/>
    </row>
    <row r="95" spans="8:11" x14ac:dyDescent="0.3">
      <c r="H95" s="84"/>
    </row>
    <row r="96" spans="8:11" x14ac:dyDescent="0.3">
      <c r="H96" s="84"/>
    </row>
    <row r="97" spans="8:8" x14ac:dyDescent="0.3">
      <c r="H97" s="84"/>
    </row>
    <row r="98" spans="8:8" x14ac:dyDescent="0.3">
      <c r="H98" s="84"/>
    </row>
    <row r="99" spans="8:8" x14ac:dyDescent="0.3">
      <c r="H99" s="84"/>
    </row>
    <row r="100" spans="8:8" x14ac:dyDescent="0.3">
      <c r="H100" s="84"/>
    </row>
    <row r="101" spans="8:8" x14ac:dyDescent="0.3">
      <c r="H101" s="84"/>
    </row>
    <row r="102" spans="8:8" x14ac:dyDescent="0.3">
      <c r="H102" s="84"/>
    </row>
    <row r="103" spans="8:8" x14ac:dyDescent="0.3">
      <c r="H103" s="84"/>
    </row>
  </sheetData>
  <autoFilter ref="A7:M24" xr:uid="{00000000-0009-0000-0000-000005000000}"/>
  <mergeCells count="5">
    <mergeCell ref="D3:E3"/>
    <mergeCell ref="A5:G5"/>
    <mergeCell ref="H5:M5"/>
    <mergeCell ref="E37:F37"/>
    <mergeCell ref="E38:F38"/>
  </mergeCells>
  <dataValidations count="2">
    <dataValidation type="list" allowBlank="1" showInputMessage="1" showErrorMessage="1" sqref="H8" xr:uid="{04A5F538-72D8-41D5-9E01-B43CC7EBC49D}">
      <formula1>$J$33:$J$35</formula1>
    </dataValidation>
    <dataValidation type="list" allowBlank="1" showInputMessage="1" showErrorMessage="1" sqref="H9:H21" xr:uid="{032FCD60-9BCB-4D91-9EB5-D44BDB607256}">
      <formula1>$D$40:$D$41</formula1>
    </dataValidation>
  </dataValidations>
  <printOptions horizontalCentered="1" verticalCentered="1"/>
  <pageMargins left="0.39370078740157483" right="0.39370078740157483" top="0" bottom="0" header="0.31496062992125984" footer="0.31496062992125984"/>
  <pageSetup paperSize="9" scale="65" fitToHeight="0" orientation="landscape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PADRÃO</vt:lpstr>
      <vt:lpstr>PADRÃO!Area_de_impressao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moises braga</dc:creator>
  <cp:lastModifiedBy>moises braga</cp:lastModifiedBy>
  <dcterms:created xsi:type="dcterms:W3CDTF">2026-04-26T00:13:15Z</dcterms:created>
  <dcterms:modified xsi:type="dcterms:W3CDTF">2026-04-26T00:34:16Z</dcterms:modified>
</cp:coreProperties>
</file>