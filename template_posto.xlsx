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se\Downloads\"/>
    </mc:Choice>
  </mc:AlternateContent>
  <xr:revisionPtr revIDLastSave="0" documentId="13_ncr:1_{995B82FF-32E7-4CEB-9153-76E6BB58891F}" xr6:coauthVersionLast="47" xr6:coauthVersionMax="47" xr10:uidLastSave="{00000000-0000-0000-0000-000000000000}"/>
  <bookViews>
    <workbookView xWindow="-108" yWindow="-108" windowWidth="23256" windowHeight="12456" xr2:uid="{F2E926A6-1D7B-46C1-853C-913B9CD95B80}"/>
  </bookViews>
  <sheets>
    <sheet name="PADRÃO" sheetId="1" r:id="rId1"/>
  </sheets>
  <externalReferences>
    <externalReference r:id="rId2"/>
    <externalReference r:id="rId3"/>
    <externalReference r:id="rId4"/>
  </externalReferences>
  <definedNames>
    <definedName name="\a">#REF!</definedName>
    <definedName name="\b">#REF!</definedName>
    <definedName name="\p">#REF!</definedName>
    <definedName name="_xlnm._FilterDatabase" localSheetId="0" hidden="1">PADRÃO!$A$7:$M$24</definedName>
    <definedName name="A">[1]DIVERSOS!#REF!</definedName>
    <definedName name="_xlnm.Print_Area" localSheetId="0">PADRÃO!$A$1:$M$23</definedName>
    <definedName name="CACAMBA">'[2]CADASTRO DE CACAMBA'!$A$7:$AG$30</definedName>
    <definedName name="SSS">[1]DIVERSOS!#REF!</definedName>
    <definedName name="wrn.Orçamento." hidden="1">{#N/A,#N/A,FALSE,"Planilha";#N/A,#N/A,FALSE,"Resumo";#N/A,#N/A,FALSE,"Fisico";#N/A,#N/A,FALSE,"Financeiro";#N/A,#N/A,FALSE,"Financeiro"}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3" i="1" l="1"/>
  <c r="E43" i="1"/>
  <c r="F42" i="1"/>
  <c r="E42" i="1"/>
  <c r="F41" i="1"/>
  <c r="E41" i="1"/>
  <c r="F40" i="1"/>
  <c r="E40" i="1"/>
  <c r="E37" i="1"/>
  <c r="E38" i="1" s="1"/>
  <c r="K34" i="1"/>
  <c r="K33" i="1"/>
  <c r="I22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E2" i="1"/>
  <c r="K22" i="1" l="1"/>
  <c r="E44" i="1"/>
  <c r="E45" i="1" s="1"/>
  <c r="F44" i="1"/>
  <c r="F45" i="1" s="1"/>
</calcChain>
</file>

<file path=xl/sharedStrings.xml><?xml version="1.0" encoding="utf-8"?>
<sst xmlns="http://schemas.openxmlformats.org/spreadsheetml/2006/main" count="38" uniqueCount="34">
  <si>
    <t>OBRA:</t>
  </si>
  <si>
    <t>RAZÃO SOCIAL</t>
  </si>
  <si>
    <t>PIX</t>
  </si>
  <si>
    <t>DESCRIÇÃO:</t>
  </si>
  <si>
    <t>PREÇO GASOLINA (L)</t>
  </si>
  <si>
    <t>AGÊNCIA:</t>
  </si>
  <si>
    <t>TIPO DE CONTA:</t>
  </si>
  <si>
    <t>PERÍODO:</t>
  </si>
  <si>
    <t>PREÇO DIESEL (L)</t>
  </si>
  <si>
    <t>CONTA:</t>
  </si>
  <si>
    <t>BANCO:</t>
  </si>
  <si>
    <t xml:space="preserve">C O N T R O L E   D E   A B A S T E C I M E N T O  - </t>
  </si>
  <si>
    <t>DATA</t>
  </si>
  <si>
    <t>DIA DA SEMANA</t>
  </si>
  <si>
    <t>FICHA</t>
  </si>
  <si>
    <t>PLACA</t>
  </si>
  <si>
    <t>CÓDIGO / PREFIXO</t>
  </si>
  <si>
    <t>VEÍCULO / MAQUINA - MOTORISTA / OPERADOR</t>
  </si>
  <si>
    <t>FORNECEDOR</t>
  </si>
  <si>
    <t>TIPO DE COMBUSTÍVEL</t>
  </si>
  <si>
    <t>QUANTIDADE (L)</t>
  </si>
  <si>
    <t>VALOR UNITÁRIO (R$)</t>
  </si>
  <si>
    <t>TOTAL (R$)</t>
  </si>
  <si>
    <t>KM / HOR</t>
  </si>
  <si>
    <t>OBSERVAÇÃO</t>
  </si>
  <si>
    <t>TOTAL</t>
  </si>
  <si>
    <t>CUSTO</t>
  </si>
  <si>
    <t>GASOLINA</t>
  </si>
  <si>
    <t>DIESEL</t>
  </si>
  <si>
    <t>OUTRO</t>
  </si>
  <si>
    <t>LITROS</t>
  </si>
  <si>
    <t>ARLA</t>
  </si>
  <si>
    <t>ALCOOL</t>
  </si>
  <si>
    <t>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</si>
</sst>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&quot;R$&quot;\ #,##0.00"/>
    <numFmt numFmtId="166" formatCode="ddd"/>
    <numFmt numFmtId="167" formatCode="00000"/>
    <numFmt numFmtId="168" formatCode="_-* #,##0.000_-;\-* #,##0.000_-;_-* &quot;-&quot;??_-;_-@_-"/>
    <numFmt numFmtId="169" formatCode="_-* #,##0.0_-;\-* #,##0.0_-;_-* &quot;-&quot;??_-;_-@_-"/>
    <numFmt numFmtId="170" formatCode="_-* #,##0.0_-;\-* #,##0.0_-;_-* &quot;-&quot;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64" fontId="0" fillId="2" borderId="4" xfId="0" applyNumberForma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 indent="1"/>
    </xf>
    <xf numFmtId="0" fontId="0" fillId="2" borderId="4" xfId="0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 indent="1"/>
    </xf>
    <xf numFmtId="165" fontId="6" fillId="2" borderId="0" xfId="0" applyNumberFormat="1" applyFont="1" applyFill="1" applyAlignment="1">
      <alignment horizontal="center" vertical="center"/>
    </xf>
    <xf numFmtId="43" fontId="2" fillId="2" borderId="6" xfId="1" applyFont="1" applyFill="1" applyBorder="1" applyAlignment="1">
      <alignment horizontal="left" vertical="center" indent="1"/>
    </xf>
    <xf numFmtId="43" fontId="0" fillId="2" borderId="0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3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left" vertical="center" indent="1"/>
    </xf>
    <xf numFmtId="165" fontId="6" fillId="2" borderId="11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left" vertical="center" indent="1"/>
    </xf>
    <xf numFmtId="164" fontId="0" fillId="2" borderId="11" xfId="0" applyNumberForma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164" fontId="0" fillId="2" borderId="11" xfId="0" applyNumberFormat="1" applyFill="1" applyBorder="1" applyAlignment="1">
      <alignment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164" fontId="2" fillId="3" borderId="17" xfId="0" applyNumberFormat="1" applyFont="1" applyFill="1" applyBorder="1" applyAlignment="1">
      <alignment horizontal="center" vertical="center" wrapText="1"/>
    </xf>
    <xf numFmtId="164" fontId="2" fillId="3" borderId="18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164" fontId="6" fillId="2" borderId="19" xfId="0" applyNumberFormat="1" applyFont="1" applyFill="1" applyBorder="1" applyAlignment="1">
      <alignment horizontal="center" vertical="center"/>
    </xf>
    <xf numFmtId="166" fontId="9" fillId="3" borderId="20" xfId="0" applyNumberFormat="1" applyFont="1" applyFill="1" applyBorder="1" applyAlignment="1">
      <alignment horizontal="center" vertical="center"/>
    </xf>
    <xf numFmtId="167" fontId="6" fillId="2" borderId="20" xfId="0" applyNumberFormat="1" applyFont="1" applyFill="1" applyBorder="1" applyAlignment="1">
      <alignment horizontal="center" vertical="center"/>
    </xf>
    <xf numFmtId="4" fontId="6" fillId="2" borderId="20" xfId="0" applyNumberFormat="1" applyFont="1" applyFill="1" applyBorder="1" applyAlignment="1">
      <alignment horizontal="center" vertical="center"/>
    </xf>
    <xf numFmtId="4" fontId="9" fillId="3" borderId="20" xfId="0" applyNumberFormat="1" applyFont="1" applyFill="1" applyBorder="1" applyAlignment="1">
      <alignment horizontal="center" vertical="center"/>
    </xf>
    <xf numFmtId="164" fontId="6" fillId="3" borderId="20" xfId="0" applyNumberFormat="1" applyFont="1" applyFill="1" applyBorder="1" applyAlignment="1">
      <alignment horizontal="center" vertical="center"/>
    </xf>
    <xf numFmtId="164" fontId="6" fillId="2" borderId="20" xfId="0" applyNumberFormat="1" applyFont="1" applyFill="1" applyBorder="1" applyAlignment="1">
      <alignment horizontal="center" vertical="center"/>
    </xf>
    <xf numFmtId="168" fontId="6" fillId="2" borderId="20" xfId="3" applyNumberFormat="1" applyFont="1" applyFill="1" applyBorder="1" applyAlignment="1">
      <alignment horizontal="right" vertical="center"/>
    </xf>
    <xf numFmtId="168" fontId="6" fillId="3" borderId="20" xfId="3" applyNumberFormat="1" applyFont="1" applyFill="1" applyBorder="1" applyAlignment="1">
      <alignment horizontal="right" vertical="center"/>
    </xf>
    <xf numFmtId="43" fontId="9" fillId="2" borderId="20" xfId="3" applyFont="1" applyFill="1" applyBorder="1" applyAlignment="1">
      <alignment horizontal="right" vertical="center"/>
    </xf>
    <xf numFmtId="169" fontId="6" fillId="2" borderId="20" xfId="3" applyNumberFormat="1" applyFont="1" applyFill="1" applyBorder="1" applyAlignment="1">
      <alignment horizontal="center" vertical="center"/>
    </xf>
    <xf numFmtId="43" fontId="6" fillId="2" borderId="21" xfId="3" applyFont="1" applyFill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20" xfId="0" applyFont="1" applyFill="1" applyBorder="1" applyAlignment="1">
      <alignment horizontal="center" vertical="center"/>
    </xf>
    <xf numFmtId="4" fontId="6" fillId="0" borderId="20" xfId="0" applyNumberFormat="1" applyFont="1" applyBorder="1" applyAlignment="1">
      <alignment horizontal="center" vertical="center"/>
    </xf>
    <xf numFmtId="168" fontId="6" fillId="2" borderId="20" xfId="1" applyNumberFormat="1" applyFont="1" applyFill="1" applyBorder="1" applyAlignment="1">
      <alignment horizontal="right" vertical="center"/>
    </xf>
    <xf numFmtId="169" fontId="6" fillId="2" borderId="20" xfId="1" applyNumberFormat="1" applyFont="1" applyFill="1" applyBorder="1" applyAlignment="1">
      <alignment horizontal="center" vertical="center"/>
    </xf>
    <xf numFmtId="164" fontId="6" fillId="2" borderId="22" xfId="0" applyNumberFormat="1" applyFont="1" applyFill="1" applyBorder="1" applyAlignment="1">
      <alignment horizontal="center" vertical="center"/>
    </xf>
    <xf numFmtId="166" fontId="9" fillId="3" borderId="23" xfId="0" applyNumberFormat="1" applyFont="1" applyFill="1" applyBorder="1" applyAlignment="1">
      <alignment horizontal="center" vertical="center"/>
    </xf>
    <xf numFmtId="167" fontId="6" fillId="2" borderId="23" xfId="0" applyNumberFormat="1" applyFont="1" applyFill="1" applyBorder="1" applyAlignment="1">
      <alignment horizontal="center" vertical="center"/>
    </xf>
    <xf numFmtId="4" fontId="6" fillId="2" borderId="23" xfId="0" applyNumberFormat="1" applyFont="1" applyFill="1" applyBorder="1" applyAlignment="1">
      <alignment horizontal="center" vertical="center"/>
    </xf>
    <xf numFmtId="4" fontId="9" fillId="3" borderId="23" xfId="0" applyNumberFormat="1" applyFont="1" applyFill="1" applyBorder="1" applyAlignment="1">
      <alignment horizontal="center" vertical="center"/>
    </xf>
    <xf numFmtId="169" fontId="6" fillId="2" borderId="23" xfId="1" applyNumberFormat="1" applyFont="1" applyFill="1" applyBorder="1" applyAlignment="1">
      <alignment horizontal="center" vertical="center"/>
    </xf>
    <xf numFmtId="43" fontId="6" fillId="2" borderId="24" xfId="3" applyFont="1" applyFill="1" applyBorder="1" applyAlignment="1">
      <alignment horizontal="left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10" fillId="2" borderId="26" xfId="0" applyFont="1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164" fontId="0" fillId="2" borderId="26" xfId="0" applyNumberFormat="1" applyFill="1" applyBorder="1" applyAlignment="1">
      <alignment horizontal="center" vertical="center"/>
    </xf>
    <xf numFmtId="4" fontId="11" fillId="2" borderId="26" xfId="2" applyNumberFormat="1" applyFont="1" applyFill="1" applyBorder="1" applyAlignment="1">
      <alignment vertical="center"/>
    </xf>
    <xf numFmtId="4" fontId="11" fillId="2" borderId="26" xfId="0" applyNumberFormat="1" applyFont="1" applyFill="1" applyBorder="1" applyAlignment="1">
      <alignment vertical="center"/>
    </xf>
    <xf numFmtId="165" fontId="11" fillId="2" borderId="26" xfId="2" applyNumberFormat="1" applyFont="1" applyFill="1" applyBorder="1" applyAlignment="1">
      <alignment vertical="center"/>
    </xf>
    <xf numFmtId="165" fontId="11" fillId="2" borderId="27" xfId="2" applyNumberFormat="1" applyFont="1" applyFill="1" applyBorder="1" applyAlignment="1">
      <alignment horizontal="center" vertical="center"/>
    </xf>
    <xf numFmtId="43" fontId="6" fillId="2" borderId="0" xfId="3" applyFont="1" applyFill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4" fontId="11" fillId="2" borderId="0" xfId="2" applyNumberFormat="1" applyFont="1" applyFill="1" applyBorder="1" applyAlignment="1">
      <alignment vertical="center"/>
    </xf>
    <xf numFmtId="4" fontId="11" fillId="2" borderId="0" xfId="0" applyNumberFormat="1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5" fontId="11" fillId="2" borderId="0" xfId="2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43" fontId="0" fillId="2" borderId="0" xfId="1" applyFont="1" applyFill="1" applyAlignment="1">
      <alignment vertical="center"/>
    </xf>
    <xf numFmtId="43" fontId="6" fillId="2" borderId="0" xfId="1" applyFont="1" applyFill="1" applyBorder="1" applyAlignment="1">
      <alignment horizontal="left" vertical="center"/>
    </xf>
    <xf numFmtId="170" fontId="0" fillId="2" borderId="0" xfId="0" applyNumberFormat="1" applyFill="1" applyAlignment="1">
      <alignment vertical="center"/>
    </xf>
    <xf numFmtId="165" fontId="4" fillId="2" borderId="0" xfId="2" applyNumberFormat="1" applyFont="1" applyFill="1" applyBorder="1" applyAlignment="1">
      <alignment horizontal="right" vertical="center"/>
    </xf>
    <xf numFmtId="164" fontId="0" fillId="2" borderId="28" xfId="0" applyNumberFormat="1" applyFill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165" fontId="4" fillId="2" borderId="0" xfId="2" applyNumberFormat="1" applyFont="1" applyFill="1" applyBorder="1" applyAlignment="1">
      <alignment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43" fontId="0" fillId="2" borderId="33" xfId="1" applyFont="1" applyFill="1" applyBorder="1" applyAlignment="1">
      <alignment vertical="center"/>
    </xf>
    <xf numFmtId="43" fontId="0" fillId="2" borderId="34" xfId="1" applyFont="1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43" fontId="2" fillId="2" borderId="35" xfId="1" applyFont="1" applyFill="1" applyBorder="1" applyAlignment="1">
      <alignment vertical="center"/>
    </xf>
    <xf numFmtId="43" fontId="2" fillId="2" borderId="36" xfId="1" applyFont="1" applyFill="1" applyBorder="1" applyAlignment="1">
      <alignment vertical="center"/>
    </xf>
    <xf numFmtId="49" fontId="4" fillId="2" borderId="11" xfId="0" quotePrefix="1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14" xfId="0" applyFont="1" applyFill="1" applyBorder="1" applyAlignment="1">
      <alignment horizontal="right" vertical="center"/>
    </xf>
    <xf numFmtId="0" fontId="8" fillId="3" borderId="14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Vírgula" xfId="1" builtinId="3"/>
    <cellStyle name="Vírgula 3 2" xfId="3" xr:uid="{D63D95D0-994E-47FB-91A6-43F071D8CF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168091</xdr:colOff>
      <xdr:row>0</xdr:row>
      <xdr:rowOff>156882</xdr:rowOff>
    </xdr:from>
    <xdr:to>
      <xdr:col>1</xdr:col>
      <xdr:colOff>448235</xdr:colOff>
      <xdr:row>2</xdr:row>
      <xdr:rowOff>152400</xdr:rowOff>
    </xdr:to>
    <xdr:pic>
      <xdr:nvPicPr>
        <xdr:cNvPr id="2" name="Picture 1785">
          <a:extLst>
            <a:ext uri="{FF2B5EF4-FFF2-40B4-BE49-F238E27FC236}">
              <a16:creationId xmlns:a16="http://schemas.microsoft.com/office/drawing/2014/main" id="{427C4631-7022-4D26-A76F-1D4C37647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8091" y="156882"/>
          <a:ext cx="912604" cy="498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icita&#231;&#245;es/Propostas%20Diversas/OBRAS%20E%20SERVI&#199;OS/DIRECIONAL%20ENGENHARIA/CONTROLE%20DE%20OBRAS/ABASTECIMENTO%20E%20PRODU&#199;&#195;O/CONTROLE%20-%20PAULO/2013/12_Abastecimento%20e%20Produ&#231;&#227;o%20(DEZEMBRO%20FINAL).xlsx" TargetMode="External"/><Relationship Id="rId1" Type="http://schemas.openxmlformats.org/officeDocument/2006/relationships/externalLinkPath" Target="/Licita&#231;&#245;es/Propostas%20Diversas/OBRAS%20E%20SERVI&#199;OS/DIRECIONAL%20ENGENHARIA/CONTROLE%20DE%20OBRAS/ABASTECIMENTO%20E%20PRODU&#199;&#195;O/CONTROLE%20-%20PAULO/2013/12_Abastecimento%20e%20Produ&#231;&#227;o%20(DEZEMBRO%20FINAL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Leo%20Ribeiro\Desktop\MOVIMENTO%20DE%20MATERIAL2%20ULTIMA%20VERSAO%20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ise\Downloads\1%20-%20ABAST%20E%20PROD%20-%20V.revis&#227;o.xlsm" TargetMode="External"/><Relationship Id="rId1" Type="http://schemas.openxmlformats.org/officeDocument/2006/relationships/externalLinkPath" Target="1%20-%20ABAST%20E%20PROD%20-%20V.revis&#227;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DASTRO"/>
      <sheetName val="POSTO"/>
      <sheetName val="MELOSA"/>
      <sheetName val="CARRADAS ASFALTO"/>
      <sheetName val="RESUMOS --&gt;"/>
      <sheetName val="FORNECEDOR 01"/>
      <sheetName val="FORNECEDOR 02"/>
      <sheetName val="PRODUÇÃO (2)"/>
      <sheetName val="PRODUÇÃO"/>
      <sheetName val="ABAST. GERAL"/>
      <sheetName val="FINANCEIRO"/>
      <sheetName val="J1"/>
      <sheetName val="J2"/>
      <sheetName val="DIVERSOS"/>
      <sheetName val="CAÇAMBAS --&gt;"/>
      <sheetName val="04"/>
      <sheetName val="05"/>
      <sheetName val="06"/>
      <sheetName val="07"/>
      <sheetName val="08"/>
      <sheetName val="09"/>
      <sheetName val="13"/>
      <sheetName val="14"/>
      <sheetName val="18"/>
      <sheetName val="CB'S PENDENTES --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0">
          <cell r="G10">
            <v>12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 GERALDEZEMBRO"/>
      <sheetName val="MAPA GERAL janeiro (3)"/>
      <sheetName val="CADASTRO DE CACAMBA"/>
      <sheetName val="reciboX"/>
      <sheetName val="recibo 1 "/>
      <sheetName val="recibo 2"/>
      <sheetName val="recibo 3"/>
      <sheetName val="recibo 2 E 3"/>
      <sheetName val="recibo SAVIO "/>
      <sheetName val="recibo 4"/>
      <sheetName val="recibo 5"/>
      <sheetName val="recibo 6"/>
      <sheetName val="recibo 7"/>
      <sheetName val="recibo 8"/>
      <sheetName val="recibo 9"/>
      <sheetName val="recibo 10"/>
      <sheetName val="recibo 11"/>
      <sheetName val="recibo 12"/>
      <sheetName val="recibo 13"/>
      <sheetName val="recibo 14"/>
      <sheetName val="recibo 15"/>
      <sheetName val="recibo 16"/>
      <sheetName val="recibo 17"/>
      <sheetName val="recibo 18"/>
      <sheetName val="recibo 19"/>
      <sheetName val="recibo 20"/>
      <sheetName val="recibo 21"/>
      <sheetName val="recibo 22"/>
      <sheetName val="recibo 23"/>
      <sheetName val="DESCONTOS CACAMBA JAN"/>
      <sheetName val="DESCONTOS DEZMBRO"/>
      <sheetName val="DESCONTOS PIPAS"/>
      <sheetName val="19_12"/>
      <sheetName val="20_12"/>
      <sheetName val="22_12"/>
      <sheetName val="23_12"/>
      <sheetName val="24_12"/>
      <sheetName val="26_12"/>
      <sheetName val="27_12"/>
      <sheetName val="28_12"/>
      <sheetName val="29_12"/>
      <sheetName val="30_12"/>
      <sheetName val="02_01"/>
      <sheetName val="MAPA GERAL janeiro"/>
      <sheetName val="MAPA GERAL janeiro (2)"/>
      <sheetName val="RESUMO POR DIA"/>
      <sheetName val="RESUMO POR CACAMBA"/>
      <sheetName val="RESUMO POR CACAMBA DIA"/>
    </sheetNames>
    <sheetDataSet>
      <sheetData sheetId="0"/>
      <sheetData sheetId="1"/>
      <sheetData sheetId="2">
        <row r="7">
          <cell r="A7">
            <v>1</v>
          </cell>
          <cell r="B7" t="str">
            <v xml:space="preserve">VOLVO </v>
          </cell>
          <cell r="C7" t="str">
            <v>NL10</v>
          </cell>
          <cell r="D7" t="str">
            <v>MMO-6587</v>
          </cell>
          <cell r="E7" t="str">
            <v>JOSE MILTON ALVES LIMA</v>
          </cell>
          <cell r="F7" t="str">
            <v>ZE</v>
          </cell>
          <cell r="G7">
            <v>15</v>
          </cell>
          <cell r="H7">
            <v>15</v>
          </cell>
          <cell r="I7" t="str">
            <v>JOSE MILTON ALVES LIMA</v>
          </cell>
          <cell r="J7" t="str">
            <v>509.591.153-15</v>
          </cell>
          <cell r="K7">
            <v>2000010266365</v>
          </cell>
          <cell r="L7">
            <v>12504339242</v>
          </cell>
          <cell r="M7" t="str">
            <v>88 99533616</v>
          </cell>
          <cell r="N7" t="str">
            <v>-</v>
          </cell>
          <cell r="O7" t="str">
            <v>-</v>
          </cell>
          <cell r="P7" t="str">
            <v>JOSE MILTON ALVES LIMA</v>
          </cell>
          <cell r="Q7" t="str">
            <v>509.591.153-15</v>
          </cell>
          <cell r="R7">
            <v>12504339242</v>
          </cell>
          <cell r="S7" t="str">
            <v>BANCO DO BRASIL</v>
          </cell>
          <cell r="T7" t="str">
            <v>2701-4</v>
          </cell>
          <cell r="U7" t="str">
            <v>10917-7</v>
          </cell>
          <cell r="V7" t="str">
            <v>CORRENTE</v>
          </cell>
          <cell r="W7" t="str">
            <v>-</v>
          </cell>
          <cell r="X7">
            <v>187</v>
          </cell>
          <cell r="Y7">
            <v>6216.68</v>
          </cell>
          <cell r="Z7">
            <v>1850</v>
          </cell>
          <cell r="AA7">
            <v>2608.5</v>
          </cell>
          <cell r="AB7">
            <v>82.5</v>
          </cell>
          <cell r="AD7">
            <v>3525.6800000000003</v>
          </cell>
          <cell r="AE7">
            <v>70.510000000000005</v>
          </cell>
          <cell r="AF7">
            <v>77.56</v>
          </cell>
          <cell r="AG7">
            <v>3377.61</v>
          </cell>
        </row>
        <row r="8">
          <cell r="A8">
            <v>2</v>
          </cell>
          <cell r="B8" t="str">
            <v>MERCEDES</v>
          </cell>
          <cell r="C8">
            <v>1513</v>
          </cell>
          <cell r="D8" t="str">
            <v>HWK-3678</v>
          </cell>
          <cell r="E8" t="str">
            <v>FCO DE ASSIS GOMES FREIRE</v>
          </cell>
          <cell r="F8" t="str">
            <v>XIBITA</v>
          </cell>
          <cell r="G8">
            <v>11.16</v>
          </cell>
          <cell r="H8">
            <v>12</v>
          </cell>
          <cell r="I8" t="str">
            <v>FCO LIZENIDO COSTA</v>
          </cell>
          <cell r="J8" t="str">
            <v>220.574.122-53</v>
          </cell>
          <cell r="K8">
            <v>355892</v>
          </cell>
          <cell r="M8" t="str">
            <v>88 99644674</v>
          </cell>
          <cell r="N8" t="str">
            <v>88 423 4847</v>
          </cell>
          <cell r="O8" t="str">
            <v>-</v>
          </cell>
          <cell r="P8" t="str">
            <v>FCO LIZENIDO COSTA</v>
          </cell>
          <cell r="Q8" t="str">
            <v>220.574.122-53</v>
          </cell>
          <cell r="R8" t="str">
            <v>12153128708</v>
          </cell>
          <cell r="S8" t="str">
            <v>CAIXA ECONOMICA</v>
          </cell>
          <cell r="T8" t="str">
            <v>0750-SD</v>
          </cell>
          <cell r="U8" t="str">
            <v>0061956-6</v>
          </cell>
          <cell r="V8" t="str">
            <v>POUPANÇA</v>
          </cell>
          <cell r="W8">
            <v>13</v>
          </cell>
          <cell r="X8">
            <v>169</v>
          </cell>
          <cell r="Y8">
            <v>4528.5600000000004</v>
          </cell>
          <cell r="Z8">
            <v>1452</v>
          </cell>
          <cell r="AA8">
            <v>2047.32</v>
          </cell>
          <cell r="AB8">
            <v>84</v>
          </cell>
          <cell r="AD8">
            <v>2397.2400000000007</v>
          </cell>
          <cell r="AE8">
            <v>47.94</v>
          </cell>
          <cell r="AF8">
            <v>52.74</v>
          </cell>
          <cell r="AG8">
            <v>2296.5600000000009</v>
          </cell>
        </row>
        <row r="9">
          <cell r="A9">
            <v>3</v>
          </cell>
          <cell r="B9" t="str">
            <v>MERCEDES</v>
          </cell>
          <cell r="D9" t="str">
            <v>JKR-5440</v>
          </cell>
          <cell r="E9" t="str">
            <v>JOÃO EUDES</v>
          </cell>
          <cell r="F9" t="str">
            <v>XIBITA</v>
          </cell>
          <cell r="G9">
            <v>12</v>
          </cell>
          <cell r="H9">
            <v>12</v>
          </cell>
          <cell r="I9" t="str">
            <v>FCO LIZENIDO COSTA</v>
          </cell>
          <cell r="J9" t="str">
            <v>220.574.122-53</v>
          </cell>
          <cell r="K9">
            <v>355892</v>
          </cell>
          <cell r="M9" t="str">
            <v>88 99644674</v>
          </cell>
          <cell r="N9" t="str">
            <v>88 423 4847</v>
          </cell>
          <cell r="O9" t="str">
            <v>-</v>
          </cell>
          <cell r="P9" t="str">
            <v>ADELAIDE GOMES DA SILVA</v>
          </cell>
          <cell r="Q9" t="str">
            <v>285.948.192-34</v>
          </cell>
          <cell r="R9" t="str">
            <v>11957721710</v>
          </cell>
          <cell r="S9" t="str">
            <v>CAIXA ECONOMICA</v>
          </cell>
          <cell r="T9" t="str">
            <v>0750-SD</v>
          </cell>
          <cell r="U9" t="str">
            <v>00062604-0</v>
          </cell>
          <cell r="V9" t="str">
            <v>POUPANÇA</v>
          </cell>
          <cell r="W9">
            <v>13</v>
          </cell>
          <cell r="X9">
            <v>166</v>
          </cell>
          <cell r="Y9">
            <v>4436.1400000000003</v>
          </cell>
          <cell r="Z9">
            <v>1120</v>
          </cell>
          <cell r="AA9">
            <v>1579.2</v>
          </cell>
          <cell r="AB9">
            <v>86.5</v>
          </cell>
          <cell r="AD9">
            <v>2770.4400000000005</v>
          </cell>
          <cell r="AE9">
            <v>55.41</v>
          </cell>
          <cell r="AF9">
            <v>60.95</v>
          </cell>
          <cell r="AG9">
            <v>2654.0800000000008</v>
          </cell>
        </row>
        <row r="10">
          <cell r="A10">
            <v>4</v>
          </cell>
          <cell r="B10" t="str">
            <v>MERCEDES</v>
          </cell>
          <cell r="D10" t="str">
            <v>HUK-4839</v>
          </cell>
          <cell r="E10" t="str">
            <v>FCO LINDJALVA SILVA VIEIRA</v>
          </cell>
          <cell r="F10" t="str">
            <v>IRMAO</v>
          </cell>
          <cell r="G10">
            <v>11.1</v>
          </cell>
          <cell r="H10">
            <v>12</v>
          </cell>
          <cell r="I10" t="str">
            <v>MARIA ARIDINA NUNES HOLANDA</v>
          </cell>
          <cell r="J10" t="str">
            <v>230.304.613-00</v>
          </cell>
          <cell r="L10" t="str">
            <v>10965053536</v>
          </cell>
          <cell r="N10" t="str">
            <v>88 423 1230</v>
          </cell>
          <cell r="O10" t="str">
            <v>88 423 1654</v>
          </cell>
          <cell r="P10" t="str">
            <v>MARIA ARIDINA NUNES HOLANDA</v>
          </cell>
          <cell r="Q10" t="str">
            <v>230.304.613-00</v>
          </cell>
          <cell r="R10" t="str">
            <v>10965053536</v>
          </cell>
          <cell r="S10" t="str">
            <v>CAIXA ECONOMICA</v>
          </cell>
          <cell r="T10" t="str">
            <v>0750-SD</v>
          </cell>
          <cell r="U10" t="str">
            <v>399-1</v>
          </cell>
          <cell r="V10" t="str">
            <v>CORRENTE</v>
          </cell>
          <cell r="W10">
            <v>3</v>
          </cell>
          <cell r="X10">
            <v>203</v>
          </cell>
          <cell r="Y10">
            <v>5402.97</v>
          </cell>
          <cell r="Z10">
            <v>1525</v>
          </cell>
          <cell r="AA10">
            <v>2150.25</v>
          </cell>
          <cell r="AB10">
            <v>81</v>
          </cell>
          <cell r="AD10">
            <v>3171.7200000000003</v>
          </cell>
          <cell r="AE10">
            <v>63.43</v>
          </cell>
          <cell r="AF10">
            <v>69.78</v>
          </cell>
          <cell r="AG10">
            <v>3038.51</v>
          </cell>
        </row>
        <row r="11">
          <cell r="A11">
            <v>5</v>
          </cell>
          <cell r="B11" t="str">
            <v>MERCEDES</v>
          </cell>
          <cell r="C11" t="str">
            <v>1519</v>
          </cell>
          <cell r="D11" t="str">
            <v>HUP-3080</v>
          </cell>
          <cell r="E11" t="str">
            <v>FCO ASSIS FERNANDES</v>
          </cell>
          <cell r="G11">
            <v>12.3</v>
          </cell>
          <cell r="H11">
            <v>12</v>
          </cell>
          <cell r="I11" t="str">
            <v>FCO DE ASSIS FERNANDES</v>
          </cell>
          <cell r="J11" t="str">
            <v>001.799.678-35</v>
          </cell>
          <cell r="K11">
            <v>8714669</v>
          </cell>
          <cell r="M11" t="str">
            <v>85 9604 4898</v>
          </cell>
          <cell r="N11" t="str">
            <v>88 576 1815</v>
          </cell>
          <cell r="O11" t="str">
            <v>88 568 0455</v>
          </cell>
          <cell r="P11" t="str">
            <v>FCO WERMESON BRIGIDO FERNANDES</v>
          </cell>
          <cell r="Q11" t="str">
            <v>922.846.553-00</v>
          </cell>
          <cell r="R11" t="str">
            <v>11962119470</v>
          </cell>
          <cell r="S11" t="str">
            <v>BRADESCO</v>
          </cell>
          <cell r="T11" t="str">
            <v>1593-8</v>
          </cell>
          <cell r="U11" t="str">
            <v>0590098</v>
          </cell>
          <cell r="V11" t="str">
            <v>CORRENTE</v>
          </cell>
          <cell r="W11" t="str">
            <v>-</v>
          </cell>
          <cell r="X11">
            <v>91</v>
          </cell>
          <cell r="Y11">
            <v>2433.91</v>
          </cell>
          <cell r="Z11">
            <v>836</v>
          </cell>
          <cell r="AA11">
            <v>1178.76</v>
          </cell>
          <cell r="AB11">
            <v>89</v>
          </cell>
          <cell r="AD11">
            <v>1166.1499999999999</v>
          </cell>
          <cell r="AE11">
            <v>23.32</v>
          </cell>
          <cell r="AF11">
            <v>25.66</v>
          </cell>
          <cell r="AG11">
            <v>1117.1699999999998</v>
          </cell>
        </row>
        <row r="12">
          <cell r="A12">
            <v>6</v>
          </cell>
          <cell r="B12" t="str">
            <v>MERCEDES</v>
          </cell>
          <cell r="C12" t="str">
            <v>1519</v>
          </cell>
          <cell r="D12" t="str">
            <v>CLK-2149</v>
          </cell>
          <cell r="E12" t="str">
            <v>VANDERLANE SERGIO SOARES</v>
          </cell>
          <cell r="G12">
            <v>12</v>
          </cell>
          <cell r="H12">
            <v>12</v>
          </cell>
          <cell r="I12" t="str">
            <v>JOSE NECO DE OLIVEIRA</v>
          </cell>
          <cell r="M12" t="str">
            <v>88 9972 0945</v>
          </cell>
          <cell r="N12" t="str">
            <v>88 422 4007</v>
          </cell>
          <cell r="O12" t="str">
            <v>88 3422 2545</v>
          </cell>
          <cell r="P12" t="str">
            <v>JOSE NECO DE OLIVEIRA</v>
          </cell>
          <cell r="S12" t="str">
            <v>BANCO DO BRASIL</v>
          </cell>
          <cell r="T12" t="str">
            <v>863-X</v>
          </cell>
          <cell r="U12" t="str">
            <v>20807-8</v>
          </cell>
          <cell r="V12" t="str">
            <v>CORRENTE</v>
          </cell>
          <cell r="W12" t="str">
            <v>-</v>
          </cell>
          <cell r="X12">
            <v>59</v>
          </cell>
          <cell r="Y12">
            <v>1590.95</v>
          </cell>
          <cell r="Z12">
            <v>758</v>
          </cell>
          <cell r="AA12">
            <v>1068.78</v>
          </cell>
          <cell r="AB12">
            <v>42.5</v>
          </cell>
          <cell r="AD12">
            <v>479.67000000000007</v>
          </cell>
          <cell r="AE12">
            <v>9.59</v>
          </cell>
          <cell r="AF12">
            <v>10.55</v>
          </cell>
          <cell r="AG12">
            <v>459.53000000000009</v>
          </cell>
        </row>
        <row r="13">
          <cell r="A13">
            <v>7</v>
          </cell>
          <cell r="B13" t="str">
            <v>GMC</v>
          </cell>
          <cell r="C13" t="str">
            <v>14190</v>
          </cell>
          <cell r="D13" t="str">
            <v>HOY-0133</v>
          </cell>
          <cell r="E13" t="str">
            <v>JOAQUIM CHAGAS NETO</v>
          </cell>
          <cell r="G13">
            <v>11.8</v>
          </cell>
          <cell r="H13">
            <v>12</v>
          </cell>
          <cell r="I13" t="str">
            <v>JOAQUIM CHAGAS NETO</v>
          </cell>
          <cell r="J13" t="str">
            <v>318.406.473-53</v>
          </cell>
          <cell r="K13">
            <v>34647882</v>
          </cell>
          <cell r="N13" t="str">
            <v>88 422 2118</v>
          </cell>
          <cell r="O13" t="str">
            <v>-</v>
          </cell>
          <cell r="P13" t="str">
            <v>MARIA ILZANIR CHAGAS</v>
          </cell>
          <cell r="Q13" t="str">
            <v>219.996.943-68</v>
          </cell>
          <cell r="S13" t="str">
            <v>BANCO DO BRASIL</v>
          </cell>
          <cell r="T13" t="str">
            <v>0863-X</v>
          </cell>
          <cell r="U13" t="str">
            <v>11610-6</v>
          </cell>
          <cell r="V13" t="str">
            <v>CORRENTE</v>
          </cell>
          <cell r="W13" t="str">
            <v>-</v>
          </cell>
          <cell r="X13">
            <v>154</v>
          </cell>
          <cell r="Y13">
            <v>4105.05</v>
          </cell>
          <cell r="Z13">
            <v>1311</v>
          </cell>
          <cell r="AA13">
            <v>1848.51</v>
          </cell>
          <cell r="AB13">
            <v>77</v>
          </cell>
          <cell r="AD13">
            <v>2179.54</v>
          </cell>
          <cell r="AE13">
            <v>43.59</v>
          </cell>
          <cell r="AF13">
            <v>47.95</v>
          </cell>
          <cell r="AG13">
            <v>2088</v>
          </cell>
        </row>
        <row r="14">
          <cell r="A14">
            <v>8</v>
          </cell>
          <cell r="B14" t="str">
            <v>GMC</v>
          </cell>
          <cell r="C14" t="str">
            <v>16220</v>
          </cell>
          <cell r="D14" t="str">
            <v>HVX-9050</v>
          </cell>
          <cell r="E14" t="str">
            <v>ANTONIO DE SOUSA FILHO</v>
          </cell>
          <cell r="F14" t="str">
            <v>AURI</v>
          </cell>
          <cell r="G14">
            <v>11.8</v>
          </cell>
          <cell r="H14">
            <v>12</v>
          </cell>
          <cell r="I14" t="str">
            <v>FCO SAMPAIO DE LUCENA</v>
          </cell>
          <cell r="J14" t="str">
            <v>072.553.223-87</v>
          </cell>
          <cell r="K14">
            <v>67921677</v>
          </cell>
          <cell r="L14">
            <v>10967430094</v>
          </cell>
          <cell r="N14" t="str">
            <v>88 5571128</v>
          </cell>
          <cell r="O14" t="str">
            <v>-</v>
          </cell>
          <cell r="P14" t="str">
            <v>FCO SAMPAIO DE LUCENA</v>
          </cell>
          <cell r="Q14" t="str">
            <v>072.553.223-87</v>
          </cell>
          <cell r="R14">
            <v>10967430094</v>
          </cell>
          <cell r="S14" t="str">
            <v>BANCO DO BRASIL</v>
          </cell>
          <cell r="T14" t="str">
            <v>2300-0</v>
          </cell>
          <cell r="U14" t="str">
            <v>9207-X</v>
          </cell>
          <cell r="V14" t="str">
            <v>CORRENTE</v>
          </cell>
          <cell r="W14" t="str">
            <v>-</v>
          </cell>
          <cell r="X14">
            <v>114</v>
          </cell>
          <cell r="Y14">
            <v>3068.4</v>
          </cell>
          <cell r="Z14">
            <v>770</v>
          </cell>
          <cell r="AA14">
            <v>1085.7</v>
          </cell>
          <cell r="AB14">
            <v>70.5</v>
          </cell>
          <cell r="AC14">
            <v>118.47</v>
          </cell>
          <cell r="AD14">
            <v>1793.73</v>
          </cell>
          <cell r="AE14">
            <v>35.869999999999997</v>
          </cell>
          <cell r="AF14">
            <v>39.46</v>
          </cell>
          <cell r="AG14">
            <v>1718.4</v>
          </cell>
        </row>
        <row r="15">
          <cell r="A15">
            <v>9</v>
          </cell>
          <cell r="B15" t="str">
            <v>VOLKS</v>
          </cell>
          <cell r="D15" t="str">
            <v>HWX-1877</v>
          </cell>
          <cell r="E15" t="str">
            <v>FCO SAMPAIO DE LUCENA</v>
          </cell>
          <cell r="F15" t="str">
            <v>AURI</v>
          </cell>
          <cell r="G15">
            <v>12.07</v>
          </cell>
          <cell r="H15">
            <v>12</v>
          </cell>
          <cell r="I15" t="str">
            <v>FCO IURY LIMA SAMPAIO</v>
          </cell>
          <cell r="J15" t="str">
            <v>003.944.253-59</v>
          </cell>
          <cell r="K15">
            <v>2001097095515</v>
          </cell>
          <cell r="L15" t="str">
            <v>13483159192</v>
          </cell>
          <cell r="N15" t="str">
            <v>88 5571128</v>
          </cell>
          <cell r="O15" t="str">
            <v>-</v>
          </cell>
          <cell r="P15" t="str">
            <v>FCO IURY LIMA SAMPAIO</v>
          </cell>
          <cell r="Q15" t="str">
            <v>003.944.253-59</v>
          </cell>
          <cell r="R15" t="str">
            <v>13483159192</v>
          </cell>
          <cell r="S15" t="str">
            <v>BANCO DO BRASIL</v>
          </cell>
          <cell r="T15" t="str">
            <v>2300-0</v>
          </cell>
          <cell r="U15" t="str">
            <v>7790-9</v>
          </cell>
          <cell r="V15" t="str">
            <v>CORRENTE</v>
          </cell>
          <cell r="W15" t="str">
            <v>-</v>
          </cell>
          <cell r="X15">
            <v>184</v>
          </cell>
          <cell r="Y15">
            <v>4931.91</v>
          </cell>
          <cell r="Z15">
            <v>1691</v>
          </cell>
          <cell r="AA15">
            <v>2384.31</v>
          </cell>
          <cell r="AB15">
            <v>143.5</v>
          </cell>
          <cell r="AD15">
            <v>2404.1</v>
          </cell>
          <cell r="AE15">
            <v>48.08</v>
          </cell>
          <cell r="AF15">
            <v>52.89</v>
          </cell>
          <cell r="AG15">
            <v>2303.13</v>
          </cell>
        </row>
        <row r="16">
          <cell r="A16">
            <v>10</v>
          </cell>
          <cell r="B16" t="str">
            <v>MERCEDES</v>
          </cell>
          <cell r="C16" t="str">
            <v>1519</v>
          </cell>
          <cell r="D16" t="str">
            <v>KHI-4279</v>
          </cell>
          <cell r="E16" t="str">
            <v>SERGIO ROLIN DUARTE</v>
          </cell>
          <cell r="F16" t="str">
            <v>DELTA</v>
          </cell>
          <cell r="G16">
            <v>12.03</v>
          </cell>
          <cell r="H16">
            <v>12</v>
          </cell>
          <cell r="I16" t="str">
            <v>JOSE ARIMATERIA MONTEIRO</v>
          </cell>
          <cell r="J16" t="str">
            <v>172.513.383-00</v>
          </cell>
          <cell r="L16" t="str">
            <v>1193663601</v>
          </cell>
          <cell r="N16" t="str">
            <v>88 553 1321</v>
          </cell>
          <cell r="O16">
            <v>2265763</v>
          </cell>
          <cell r="P16" t="str">
            <v>FCO ALMEIDA MOTA</v>
          </cell>
          <cell r="S16" t="str">
            <v>BANCO DO BRASIL</v>
          </cell>
          <cell r="T16" t="str">
            <v>2300-0</v>
          </cell>
          <cell r="U16" t="str">
            <v>17227-8</v>
          </cell>
          <cell r="V16" t="str">
            <v>CORRENTE</v>
          </cell>
          <cell r="W16" t="str">
            <v>-</v>
          </cell>
          <cell r="X16">
            <v>181</v>
          </cell>
          <cell r="Y16">
            <v>4848.6000000000004</v>
          </cell>
          <cell r="Z16">
            <v>1299</v>
          </cell>
          <cell r="AA16">
            <v>1831.59</v>
          </cell>
          <cell r="AB16">
            <v>73</v>
          </cell>
          <cell r="AD16">
            <v>2944.01</v>
          </cell>
          <cell r="AE16">
            <v>58.88</v>
          </cell>
          <cell r="AF16">
            <v>64.77</v>
          </cell>
          <cell r="AG16">
            <v>2820.36</v>
          </cell>
        </row>
        <row r="17">
          <cell r="A17">
            <v>11</v>
          </cell>
          <cell r="B17" t="str">
            <v>GMC</v>
          </cell>
          <cell r="D17" t="str">
            <v>MYL-0735</v>
          </cell>
          <cell r="E17" t="str">
            <v>JOSE UBIRATAN G.DOS SANTOS</v>
          </cell>
          <cell r="G17">
            <v>11.9</v>
          </cell>
          <cell r="H17">
            <v>12</v>
          </cell>
          <cell r="I17" t="str">
            <v>RAIMUNDO NONATO DE SOUSA</v>
          </cell>
          <cell r="J17" t="str">
            <v>261.427.673-15</v>
          </cell>
          <cell r="K17">
            <v>2001032047923</v>
          </cell>
          <cell r="L17">
            <v>10837232578</v>
          </cell>
          <cell r="M17" t="str">
            <v>88 99640252</v>
          </cell>
          <cell r="N17" t="str">
            <v>88 423 5389</v>
          </cell>
          <cell r="O17" t="str">
            <v>-</v>
          </cell>
          <cell r="P17" t="str">
            <v>RAIMUNDO NONATO DE SOUSA</v>
          </cell>
          <cell r="Q17" t="str">
            <v>261.427.673-15</v>
          </cell>
          <cell r="R17">
            <v>10837232578</v>
          </cell>
          <cell r="S17" t="str">
            <v>BANCO DO BRASIL</v>
          </cell>
          <cell r="T17" t="str">
            <v>2253-5</v>
          </cell>
          <cell r="U17" t="str">
            <v>11661-0</v>
          </cell>
          <cell r="V17" t="str">
            <v>CORRENTE</v>
          </cell>
          <cell r="W17" t="str">
            <v>-</v>
          </cell>
          <cell r="X17">
            <v>91</v>
          </cell>
          <cell r="Y17">
            <v>2430.98</v>
          </cell>
          <cell r="Z17">
            <v>1037</v>
          </cell>
          <cell r="AA17">
            <v>1462.17</v>
          </cell>
          <cell r="AB17">
            <v>51</v>
          </cell>
          <cell r="AC17">
            <v>112</v>
          </cell>
          <cell r="AD17">
            <v>805.81</v>
          </cell>
          <cell r="AE17">
            <v>16.12</v>
          </cell>
          <cell r="AF17">
            <v>17.73</v>
          </cell>
          <cell r="AG17">
            <v>771.95999999999992</v>
          </cell>
        </row>
        <row r="18">
          <cell r="A18">
            <v>12</v>
          </cell>
          <cell r="B18" t="str">
            <v>MERCEDES</v>
          </cell>
          <cell r="D18" t="str">
            <v>HUM-5996</v>
          </cell>
          <cell r="E18" t="str">
            <v>FCO FELIX DA SILVA NETO</v>
          </cell>
          <cell r="G18">
            <v>12.47</v>
          </cell>
          <cell r="H18">
            <v>13</v>
          </cell>
          <cell r="I18" t="str">
            <v>HORACIO DE CARVALHO NETO</v>
          </cell>
          <cell r="M18" t="str">
            <v>85 9931 4428</v>
          </cell>
          <cell r="N18" t="str">
            <v>84 357 0154</v>
          </cell>
          <cell r="O18" t="str">
            <v>-</v>
          </cell>
          <cell r="P18" t="str">
            <v>MARIA DO SOCORRO CARVALHO</v>
          </cell>
          <cell r="S18" t="str">
            <v>BANCO DO BRASIL</v>
          </cell>
          <cell r="T18" t="str">
            <v>1140-1</v>
          </cell>
          <cell r="U18" t="str">
            <v>10405-1</v>
          </cell>
          <cell r="V18" t="str">
            <v>CORRENTE</v>
          </cell>
          <cell r="W18" t="str">
            <v>-</v>
          </cell>
          <cell r="X18">
            <v>13</v>
          </cell>
          <cell r="Y18">
            <v>358.87</v>
          </cell>
          <cell r="Z18">
            <v>321</v>
          </cell>
          <cell r="AA18">
            <v>452.61</v>
          </cell>
          <cell r="AB18">
            <v>19.5</v>
          </cell>
          <cell r="AD18">
            <v>-113.24000000000001</v>
          </cell>
          <cell r="AE18">
            <v>-2.2599999999999998</v>
          </cell>
          <cell r="AF18">
            <v>-2.4900000000000002</v>
          </cell>
          <cell r="AG18">
            <v>-108.49000000000001</v>
          </cell>
        </row>
        <row r="19">
          <cell r="A19">
            <v>13</v>
          </cell>
          <cell r="B19" t="str">
            <v>MERCEDES</v>
          </cell>
          <cell r="C19" t="str">
            <v>1318</v>
          </cell>
          <cell r="D19" t="str">
            <v>HUM-8615</v>
          </cell>
          <cell r="E19" t="str">
            <v>VILMAR RODRIGUES VIANA</v>
          </cell>
          <cell r="G19">
            <v>11.73</v>
          </cell>
          <cell r="H19">
            <v>12</v>
          </cell>
          <cell r="I19" t="str">
            <v>VILMAR RODRIGUES VIANA JR</v>
          </cell>
          <cell r="J19" t="str">
            <v>873.381.493-73</v>
          </cell>
          <cell r="K19">
            <v>300295495</v>
          </cell>
          <cell r="L19">
            <v>12368517741</v>
          </cell>
          <cell r="N19" t="str">
            <v>88 424 1550</v>
          </cell>
          <cell r="O19" t="str">
            <v>-</v>
          </cell>
          <cell r="P19" t="str">
            <v>ILA MARIA DE MOURA BANDEIRA</v>
          </cell>
          <cell r="S19" t="str">
            <v>BEC</v>
          </cell>
          <cell r="T19" t="str">
            <v>42-SD</v>
          </cell>
          <cell r="U19" t="str">
            <v>10870-1</v>
          </cell>
          <cell r="V19" t="str">
            <v>CORRENTE</v>
          </cell>
          <cell r="W19" t="str">
            <v>-</v>
          </cell>
          <cell r="X19">
            <v>131</v>
          </cell>
          <cell r="Y19">
            <v>3494.46</v>
          </cell>
          <cell r="Z19">
            <v>952</v>
          </cell>
          <cell r="AA19">
            <v>1342.32</v>
          </cell>
          <cell r="AB19">
            <v>68</v>
          </cell>
          <cell r="AD19">
            <v>2084.1400000000003</v>
          </cell>
          <cell r="AE19">
            <v>41.68</v>
          </cell>
          <cell r="AF19">
            <v>45.85</v>
          </cell>
          <cell r="AG19">
            <v>1996.6100000000004</v>
          </cell>
        </row>
        <row r="20">
          <cell r="A20">
            <v>14</v>
          </cell>
          <cell r="B20" t="str">
            <v>MERCEDES</v>
          </cell>
          <cell r="C20" t="str">
            <v>1313</v>
          </cell>
          <cell r="D20" t="str">
            <v>HVS-4165</v>
          </cell>
          <cell r="E20" t="str">
            <v>EVERTON REGILO DA SILVA</v>
          </cell>
          <cell r="G20">
            <v>11.66</v>
          </cell>
          <cell r="H20">
            <v>12</v>
          </cell>
          <cell r="I20" t="str">
            <v>FCO ASSIS DA SILVA</v>
          </cell>
          <cell r="L20" t="str">
            <v>10954811329</v>
          </cell>
          <cell r="N20" t="str">
            <v>88 581 5029</v>
          </cell>
          <cell r="O20" t="str">
            <v>88 581 9105</v>
          </cell>
          <cell r="P20" t="str">
            <v>FCO ASSIS DA SILVA</v>
          </cell>
          <cell r="R20" t="str">
            <v>10954811329</v>
          </cell>
          <cell r="S20" t="str">
            <v>BEC</v>
          </cell>
          <cell r="T20" t="str">
            <v>55-SD</v>
          </cell>
          <cell r="U20" t="str">
            <v>030208-9</v>
          </cell>
          <cell r="V20" t="str">
            <v>CORRENTE</v>
          </cell>
          <cell r="W20" t="str">
            <v>-</v>
          </cell>
          <cell r="X20">
            <v>74</v>
          </cell>
          <cell r="Y20">
            <v>1976.58</v>
          </cell>
          <cell r="Z20">
            <v>564</v>
          </cell>
          <cell r="AA20">
            <v>795.24</v>
          </cell>
          <cell r="AB20">
            <v>95</v>
          </cell>
          <cell r="AD20">
            <v>1086.3399999999999</v>
          </cell>
          <cell r="AE20">
            <v>21.73</v>
          </cell>
          <cell r="AF20">
            <v>23.9</v>
          </cell>
          <cell r="AG20">
            <v>1040.7099999999998</v>
          </cell>
        </row>
        <row r="21">
          <cell r="A21">
            <v>15</v>
          </cell>
          <cell r="B21" t="str">
            <v>MERCEDES</v>
          </cell>
          <cell r="C21" t="str">
            <v>1519</v>
          </cell>
          <cell r="D21" t="str">
            <v>HVN-0311</v>
          </cell>
          <cell r="E21" t="str">
            <v>MANOEL ANT DO NASCIMENTO</v>
          </cell>
          <cell r="G21">
            <v>12.58</v>
          </cell>
          <cell r="H21">
            <v>13</v>
          </cell>
          <cell r="I21" t="str">
            <v>JOAO DE DEUS MAIA DE OLIVEIRA</v>
          </cell>
          <cell r="J21" t="str">
            <v>219.957.613-20</v>
          </cell>
          <cell r="K21">
            <v>93002237148</v>
          </cell>
          <cell r="L21" t="str">
            <v>11676697190</v>
          </cell>
          <cell r="M21" t="str">
            <v>85 9181 4508</v>
          </cell>
          <cell r="N21" t="str">
            <v>85 341 0154</v>
          </cell>
          <cell r="O21" t="str">
            <v>-</v>
          </cell>
          <cell r="P21" t="str">
            <v>JOAO DE DEUS MAIA DE OLIVEIRA</v>
          </cell>
          <cell r="Q21" t="str">
            <v>219.957.613-20</v>
          </cell>
          <cell r="R21" t="str">
            <v>11676697190</v>
          </cell>
          <cell r="S21" t="str">
            <v>CAIXA ECONOMICA</v>
          </cell>
          <cell r="T21" t="str">
            <v>1958-SD</v>
          </cell>
          <cell r="U21" t="str">
            <v>2535-6</v>
          </cell>
          <cell r="V21" t="str">
            <v>CORRENTE</v>
          </cell>
          <cell r="W21">
            <v>3</v>
          </cell>
          <cell r="X21">
            <v>79</v>
          </cell>
          <cell r="Y21">
            <v>2289.6799999999998</v>
          </cell>
          <cell r="Z21">
            <v>955</v>
          </cell>
          <cell r="AA21">
            <v>1346.55</v>
          </cell>
          <cell r="AB21">
            <v>83.5</v>
          </cell>
          <cell r="AD21">
            <v>859.62999999999988</v>
          </cell>
          <cell r="AE21">
            <v>17.190000000000001</v>
          </cell>
          <cell r="AF21">
            <v>18.91</v>
          </cell>
          <cell r="AG21">
            <v>823.52999999999986</v>
          </cell>
        </row>
        <row r="22">
          <cell r="A22">
            <v>16</v>
          </cell>
          <cell r="B22" t="str">
            <v>MERCEDES</v>
          </cell>
          <cell r="C22" t="str">
            <v>1313</v>
          </cell>
          <cell r="D22" t="str">
            <v>HUQ-1053</v>
          </cell>
          <cell r="E22" t="str">
            <v>ALDENOR SANTIAGO DE OLIVEIRA</v>
          </cell>
          <cell r="G22">
            <v>11.13</v>
          </cell>
          <cell r="H22">
            <v>12</v>
          </cell>
          <cell r="I22" t="str">
            <v>VANBERTO COSME DA COSTA</v>
          </cell>
          <cell r="M22" t="str">
            <v>88 9964 4100</v>
          </cell>
          <cell r="N22" t="str">
            <v>88 424 1560</v>
          </cell>
          <cell r="O22" t="str">
            <v>-</v>
          </cell>
          <cell r="P22" t="str">
            <v>ANTONIO ANGELO DE MENEZES REGIS</v>
          </cell>
          <cell r="Q22" t="str">
            <v>035.363.504-96</v>
          </cell>
          <cell r="R22" t="str">
            <v>12738147641</v>
          </cell>
          <cell r="S22" t="str">
            <v>BANCO DO NORDESTE</v>
          </cell>
          <cell r="T22" t="str">
            <v>112-SD</v>
          </cell>
          <cell r="U22" t="str">
            <v>2977-2</v>
          </cell>
          <cell r="V22" t="str">
            <v>POUPANCA</v>
          </cell>
          <cell r="W22" t="str">
            <v>-</v>
          </cell>
          <cell r="X22">
            <v>61</v>
          </cell>
          <cell r="Y22">
            <v>1774.57</v>
          </cell>
          <cell r="Z22">
            <v>610</v>
          </cell>
          <cell r="AA22">
            <v>860.1</v>
          </cell>
          <cell r="AB22">
            <v>45.5</v>
          </cell>
          <cell r="AD22">
            <v>868.96999999999991</v>
          </cell>
          <cell r="AE22">
            <v>17.38</v>
          </cell>
          <cell r="AF22">
            <v>19.12</v>
          </cell>
          <cell r="AG22">
            <v>832.46999999999991</v>
          </cell>
        </row>
        <row r="23">
          <cell r="A23">
            <v>17</v>
          </cell>
          <cell r="B23" t="str">
            <v>VOLKS</v>
          </cell>
          <cell r="D23" t="str">
            <v>HUL-1803</v>
          </cell>
          <cell r="E23" t="str">
            <v>DOMINGOS FERNANDES BENTO</v>
          </cell>
          <cell r="G23">
            <v>12.23</v>
          </cell>
          <cell r="H23">
            <v>12</v>
          </cell>
          <cell r="I23" t="str">
            <v>VILANI FREITAS PEDROSA</v>
          </cell>
          <cell r="J23" t="str">
            <v>194.549.613-49</v>
          </cell>
          <cell r="L23" t="str">
            <v>11667742080</v>
          </cell>
          <cell r="N23" t="str">
            <v>88 583 1505</v>
          </cell>
          <cell r="O23" t="str">
            <v>88 583 1111</v>
          </cell>
          <cell r="P23" t="str">
            <v>VILANI FREITAS PEDROSA</v>
          </cell>
          <cell r="Q23" t="str">
            <v>194.549.613-49</v>
          </cell>
          <cell r="R23" t="str">
            <v>11667742080</v>
          </cell>
          <cell r="S23" t="str">
            <v>BANCO DO BRASIL</v>
          </cell>
          <cell r="T23" t="str">
            <v>0758-7</v>
          </cell>
          <cell r="U23" t="str">
            <v>14118-6</v>
          </cell>
          <cell r="V23" t="str">
            <v>CORRENTE</v>
          </cell>
          <cell r="W23" t="str">
            <v>-</v>
          </cell>
          <cell r="X23">
            <v>54</v>
          </cell>
          <cell r="Y23">
            <v>1449.05</v>
          </cell>
          <cell r="Z23">
            <v>500</v>
          </cell>
          <cell r="AA23">
            <v>705</v>
          </cell>
          <cell r="AB23">
            <v>62.5</v>
          </cell>
          <cell r="AD23">
            <v>681.55</v>
          </cell>
          <cell r="AE23">
            <v>13.63</v>
          </cell>
          <cell r="AF23">
            <v>14.99</v>
          </cell>
          <cell r="AG23">
            <v>652.92999999999995</v>
          </cell>
        </row>
        <row r="24">
          <cell r="A24">
            <v>18</v>
          </cell>
          <cell r="B24" t="str">
            <v>MERCEDES</v>
          </cell>
          <cell r="C24" t="str">
            <v>1932</v>
          </cell>
          <cell r="D24" t="str">
            <v>GKW-7436</v>
          </cell>
          <cell r="E24" t="str">
            <v>DILSON COSTA SANTOS</v>
          </cell>
          <cell r="F24" t="str">
            <v>NEGO</v>
          </cell>
          <cell r="G24">
            <v>14.38</v>
          </cell>
          <cell r="H24">
            <v>15</v>
          </cell>
          <cell r="I24" t="str">
            <v>DILSON COSTA SANTOS</v>
          </cell>
          <cell r="J24" t="str">
            <v>477.158.395-15</v>
          </cell>
          <cell r="K24">
            <v>3569590</v>
          </cell>
          <cell r="M24" t="str">
            <v>88 9955 4540</v>
          </cell>
          <cell r="N24" t="str">
            <v>-</v>
          </cell>
          <cell r="O24" t="str">
            <v>-</v>
          </cell>
          <cell r="P24" t="str">
            <v>DILSON COSTA SANTOS</v>
          </cell>
          <cell r="Q24" t="str">
            <v>477.158.395-15</v>
          </cell>
          <cell r="R24">
            <v>12417393400</v>
          </cell>
          <cell r="S24" t="str">
            <v>BANCO DO BRASIL</v>
          </cell>
          <cell r="T24" t="str">
            <v>1085-5</v>
          </cell>
          <cell r="U24" t="str">
            <v>6288-X</v>
          </cell>
          <cell r="V24" t="str">
            <v>CORRENTE</v>
          </cell>
          <cell r="W24" t="str">
            <v>-</v>
          </cell>
          <cell r="X24">
            <v>72</v>
          </cell>
          <cell r="Y24">
            <v>2389.37</v>
          </cell>
          <cell r="Z24">
            <v>1000</v>
          </cell>
          <cell r="AA24">
            <v>1410</v>
          </cell>
          <cell r="AB24">
            <v>38.5</v>
          </cell>
          <cell r="AD24">
            <v>940.86999999999989</v>
          </cell>
          <cell r="AE24">
            <v>18.82</v>
          </cell>
          <cell r="AF24">
            <v>20.7</v>
          </cell>
          <cell r="AG24">
            <v>901.3499999999998</v>
          </cell>
        </row>
        <row r="25">
          <cell r="A25">
            <v>19</v>
          </cell>
          <cell r="B25" t="str">
            <v>MERCEDES</v>
          </cell>
          <cell r="C25" t="str">
            <v>1518</v>
          </cell>
          <cell r="D25" t="str">
            <v>GMV-5347</v>
          </cell>
          <cell r="E25" t="str">
            <v>JONAS ALENCAR DE MEDEIROS</v>
          </cell>
          <cell r="F25" t="str">
            <v>JONAS</v>
          </cell>
          <cell r="G25">
            <v>11.7</v>
          </cell>
          <cell r="H25">
            <v>12</v>
          </cell>
          <cell r="I25" t="str">
            <v>JONAS ALENCAR DE MEDEIROS</v>
          </cell>
          <cell r="J25" t="str">
            <v>393.596.894-91</v>
          </cell>
          <cell r="K25">
            <v>1343229</v>
          </cell>
          <cell r="L25" t="str">
            <v>17005018557</v>
          </cell>
          <cell r="M25" t="str">
            <v>84 9979 5672</v>
          </cell>
          <cell r="N25" t="str">
            <v>84 424 0145</v>
          </cell>
          <cell r="O25" t="str">
            <v>-</v>
          </cell>
          <cell r="P25" t="str">
            <v>JONAS ALENCAR DE MEDEIROS</v>
          </cell>
          <cell r="Q25" t="str">
            <v>393.596.894-91</v>
          </cell>
          <cell r="R25" t="str">
            <v>17005018557</v>
          </cell>
          <cell r="S25" t="str">
            <v>BANCO DO BRASIL</v>
          </cell>
          <cell r="T25" t="str">
            <v>0128-0</v>
          </cell>
          <cell r="U25" t="str">
            <v>21235-0</v>
          </cell>
          <cell r="V25" t="str">
            <v>CORRENTE</v>
          </cell>
          <cell r="W25" t="str">
            <v>-</v>
          </cell>
          <cell r="X25">
            <v>88</v>
          </cell>
          <cell r="Y25">
            <v>2336.5700000000002</v>
          </cell>
          <cell r="Z25">
            <v>735</v>
          </cell>
          <cell r="AA25">
            <v>1036.3499999999999</v>
          </cell>
          <cell r="AB25">
            <v>66</v>
          </cell>
          <cell r="AD25">
            <v>1234.2200000000003</v>
          </cell>
          <cell r="AE25">
            <v>24.68</v>
          </cell>
          <cell r="AF25">
            <v>27.15</v>
          </cell>
          <cell r="AG25">
            <v>1182.3900000000001</v>
          </cell>
        </row>
        <row r="26">
          <cell r="A26">
            <v>20</v>
          </cell>
          <cell r="B26" t="str">
            <v>MERCEDES</v>
          </cell>
          <cell r="C26" t="str">
            <v>1518</v>
          </cell>
          <cell r="D26" t="str">
            <v>HTZ-6666</v>
          </cell>
          <cell r="E26" t="str">
            <v>NAPOLEAO MENDES MAIA</v>
          </cell>
          <cell r="G26">
            <v>12.5</v>
          </cell>
          <cell r="H26">
            <v>13</v>
          </cell>
          <cell r="I26" t="str">
            <v>NAPOLEAO MENDES MAIA</v>
          </cell>
          <cell r="J26" t="str">
            <v>076.584.043-68</v>
          </cell>
          <cell r="M26" t="str">
            <v>88 9953 1376</v>
          </cell>
          <cell r="N26" t="str">
            <v>-</v>
          </cell>
          <cell r="O26" t="str">
            <v>-</v>
          </cell>
          <cell r="P26" t="str">
            <v>NAPOLEAO MENDES MAIA</v>
          </cell>
          <cell r="Q26" t="str">
            <v>076.584.043-68</v>
          </cell>
          <cell r="S26" t="str">
            <v>CAIXA ECONOMICA</v>
          </cell>
          <cell r="T26" t="str">
            <v>0750-SD</v>
          </cell>
          <cell r="U26" t="str">
            <v>63182-5</v>
          </cell>
          <cell r="V26" t="str">
            <v>POUPANÇA</v>
          </cell>
          <cell r="W26">
            <v>13</v>
          </cell>
          <cell r="X26">
            <v>50</v>
          </cell>
          <cell r="Y26">
            <v>1497</v>
          </cell>
          <cell r="Z26">
            <v>327</v>
          </cell>
          <cell r="AA26">
            <v>461.07</v>
          </cell>
          <cell r="AB26">
            <v>0</v>
          </cell>
          <cell r="AD26">
            <v>1035.93</v>
          </cell>
          <cell r="AE26">
            <v>20.72</v>
          </cell>
          <cell r="AF26">
            <v>22.79</v>
          </cell>
          <cell r="AG26">
            <v>992.42000000000007</v>
          </cell>
        </row>
        <row r="27">
          <cell r="A27">
            <v>21</v>
          </cell>
          <cell r="B27" t="str">
            <v>MERCEDES</v>
          </cell>
          <cell r="C27" t="str">
            <v>1316</v>
          </cell>
          <cell r="D27" t="str">
            <v>MMT-0423</v>
          </cell>
          <cell r="E27" t="str">
            <v>ANTONIO NOGUEIRA LIMA</v>
          </cell>
          <cell r="G27">
            <v>11.1</v>
          </cell>
          <cell r="H27">
            <v>11.5</v>
          </cell>
          <cell r="I27" t="str">
            <v>ANTONIO NOGUEIRA LIMA</v>
          </cell>
          <cell r="M27" t="str">
            <v>88 9958 8328</v>
          </cell>
          <cell r="O27" t="str">
            <v>-</v>
          </cell>
          <cell r="P27" t="str">
            <v>ANTONIO NOGUEIRA LIMA</v>
          </cell>
          <cell r="W27" t="str">
            <v>-</v>
          </cell>
          <cell r="X27">
            <v>7</v>
          </cell>
          <cell r="Y27">
            <v>176.83</v>
          </cell>
          <cell r="Z27">
            <v>253</v>
          </cell>
          <cell r="AA27">
            <v>356.73</v>
          </cell>
          <cell r="AB27">
            <v>10.5</v>
          </cell>
          <cell r="AD27">
            <v>-190.4</v>
          </cell>
          <cell r="AE27">
            <v>-3.81</v>
          </cell>
          <cell r="AF27">
            <v>-4.1900000000000004</v>
          </cell>
          <cell r="AG27">
            <v>-182.4</v>
          </cell>
        </row>
        <row r="28">
          <cell r="A28">
            <v>22</v>
          </cell>
          <cell r="B28" t="str">
            <v>MERCEDES</v>
          </cell>
          <cell r="C28" t="str">
            <v>1618</v>
          </cell>
          <cell r="D28" t="str">
            <v>GMD-9835</v>
          </cell>
          <cell r="E28" t="str">
            <v>IVO SANTANA DE SOUSA</v>
          </cell>
          <cell r="G28">
            <v>11.59</v>
          </cell>
          <cell r="H28" t="str">
            <v>VIROU</v>
          </cell>
          <cell r="I28" t="str">
            <v>RDO OCIR PAIVA MORORO</v>
          </cell>
          <cell r="N28" t="str">
            <v>88 628 0238</v>
          </cell>
          <cell r="X28">
            <v>6</v>
          </cell>
          <cell r="Y28">
            <v>162.36000000000001</v>
          </cell>
          <cell r="Z28">
            <v>100</v>
          </cell>
          <cell r="AA28">
            <v>141</v>
          </cell>
          <cell r="AB28">
            <v>10.5</v>
          </cell>
          <cell r="AC28">
            <v>7</v>
          </cell>
          <cell r="AD28">
            <v>3.8600000000000136</v>
          </cell>
          <cell r="AE28">
            <v>0.08</v>
          </cell>
          <cell r="AF28">
            <v>0.08</v>
          </cell>
          <cell r="AG28">
            <v>3.7000000000000135</v>
          </cell>
        </row>
        <row r="29">
          <cell r="A29">
            <v>23</v>
          </cell>
        </row>
        <row r="30">
          <cell r="A30">
            <v>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DRÃO"/>
      <sheetName val="FLUXO DE EDIÇÃO"/>
      <sheetName val="FORNECEDORES"/>
      <sheetName val="CADASTRO"/>
      <sheetName val="AGUIAR"/>
      <sheetName val="MARV"/>
      <sheetName val="RESUMOS --&gt;"/>
      <sheetName val="RES. GERAL"/>
      <sheetName val="TQ01"/>
      <sheetName val="TQ03"/>
      <sheetName val="TQ04"/>
      <sheetName val="100C"/>
      <sheetName val="RTN"/>
      <sheetName val="SERV"/>
      <sheetName val="RZD"/>
      <sheetName val="BOA"/>
      <sheetName val="JAG"/>
      <sheetName val="BETUME"/>
      <sheetName val="TCM04"/>
      <sheetName val="PRODUÇÃO"/>
      <sheetName val="TB PROD-OUT-23"/>
      <sheetName val="CB`S COPA"/>
      <sheetName val="DIVERSOS"/>
      <sheetName val="ASFALTO"/>
      <sheetName val="FINANCEIRO"/>
      <sheetName val="CAÇ COPA --&gt;"/>
      <sheetName val="CB11"/>
      <sheetName val="CB12"/>
      <sheetName val="CB13"/>
      <sheetName val="CB15"/>
      <sheetName val="CB16"/>
      <sheetName val="CB18"/>
      <sheetName val="CB19"/>
      <sheetName val="CT03"/>
      <sheetName val="CAÇ TERCEIROS)"/>
      <sheetName val="CB23"/>
      <sheetName val="CB24"/>
      <sheetName val="CB25"/>
      <sheetName val="CB29"/>
      <sheetName val="CB30"/>
    </sheetNames>
    <sheetDataSet>
      <sheetData sheetId="0"/>
      <sheetData sheetId="1"/>
      <sheetData sheetId="2"/>
      <sheetData sheetId="3">
        <row r="9">
          <cell r="B9" t="str">
            <v>TQ01</v>
          </cell>
          <cell r="C9"/>
          <cell r="D9" t="str">
            <v>TANQUE EUSÉBIO - COPA</v>
          </cell>
          <cell r="E9" t="str">
            <v>JJUNIOR</v>
          </cell>
          <cell r="F9"/>
          <cell r="G9"/>
          <cell r="H9"/>
          <cell r="I9"/>
          <cell r="J9"/>
          <cell r="K9"/>
          <cell r="L9"/>
        </row>
        <row r="10">
          <cell r="B10" t="str">
            <v>FO01</v>
          </cell>
          <cell r="C10"/>
          <cell r="D10" t="str">
            <v>POSTO SERV 100 EUSÉBIO</v>
          </cell>
          <cell r="E10" t="str">
            <v>07.295.702/0001-99</v>
          </cell>
          <cell r="F10" t="str">
            <v>SERVI 100 COMERCIO DE COMBUSTIVEIS LTDA</v>
          </cell>
          <cell r="G10"/>
          <cell r="H10"/>
          <cell r="I10"/>
          <cell r="J10"/>
          <cell r="K10"/>
          <cell r="L10"/>
        </row>
        <row r="11">
          <cell r="B11" t="str">
            <v>FO02</v>
          </cell>
          <cell r="C11"/>
          <cell r="D11" t="str">
            <v>POSTO MAROVINO</v>
          </cell>
          <cell r="E11" t="str">
            <v>51.605.555/0001-06</v>
          </cell>
          <cell r="F11" t="str">
            <v>POSTO MAROVINO LTDA</v>
          </cell>
          <cell r="G11" t="str">
            <v>(88) 99606-0501</v>
          </cell>
          <cell r="H11" t="str">
            <v>B. do BRASIL</v>
          </cell>
          <cell r="I11" t="str">
            <v>1157-6</v>
          </cell>
          <cell r="J11" t="str">
            <v>53442-0</v>
          </cell>
          <cell r="K11" t="str">
            <v>CORRENTE</v>
          </cell>
          <cell r="L11">
            <v>51605555000106</v>
          </cell>
        </row>
        <row r="12">
          <cell r="B12" t="str">
            <v>FO03</v>
          </cell>
          <cell r="C12"/>
          <cell r="D12" t="str">
            <v>POSTO REZENDE SOBRAL</v>
          </cell>
          <cell r="E12"/>
          <cell r="F12"/>
          <cell r="G12"/>
          <cell r="H12"/>
          <cell r="I12"/>
          <cell r="J12"/>
          <cell r="K12"/>
          <cell r="L12"/>
        </row>
        <row r="13">
          <cell r="B13" t="str">
            <v>FO04</v>
          </cell>
          <cell r="C13"/>
          <cell r="D13" t="str">
            <v>POSTO BOAVENTURA FORTALEZA</v>
          </cell>
          <cell r="E13"/>
          <cell r="F13"/>
          <cell r="G13"/>
          <cell r="H13"/>
          <cell r="I13"/>
          <cell r="J13"/>
          <cell r="K13"/>
          <cell r="L13"/>
        </row>
        <row r="14">
          <cell r="B14" t="str">
            <v>FO05</v>
          </cell>
          <cell r="C14"/>
          <cell r="D14" t="str">
            <v>POSTO AGUIAR UBAÚNA</v>
          </cell>
          <cell r="E14" t="str">
            <v>11575650/0001-81</v>
          </cell>
          <cell r="F14" t="str">
            <v>POSTO DE COMBUSTIVEIS AGUIAR LTDA</v>
          </cell>
          <cell r="G14" t="str">
            <v>(88) 99990-0224</v>
          </cell>
          <cell r="H14" t="str">
            <v>B. do BRASIL</v>
          </cell>
          <cell r="I14" t="str">
            <v>5663-4</v>
          </cell>
          <cell r="J14" t="str">
            <v>10905-3</v>
          </cell>
          <cell r="K14" t="str">
            <v>CORRENTE</v>
          </cell>
          <cell r="L14"/>
        </row>
        <row r="15">
          <cell r="B15" t="str">
            <v>FO06</v>
          </cell>
          <cell r="C15"/>
          <cell r="D15" t="str">
            <v>POSTO RETORNO LTDA</v>
          </cell>
          <cell r="E15"/>
          <cell r="F15"/>
          <cell r="G15"/>
          <cell r="H15"/>
          <cell r="I15"/>
          <cell r="J15"/>
          <cell r="K15"/>
          <cell r="L15"/>
        </row>
        <row r="16">
          <cell r="B16" t="str">
            <v>FO07</v>
          </cell>
          <cell r="C16"/>
          <cell r="D16" t="str">
            <v>POSTO SANTO ANTÔNIO JAGUARETAMA</v>
          </cell>
          <cell r="E16"/>
          <cell r="F16"/>
          <cell r="G16"/>
          <cell r="H16"/>
          <cell r="I16"/>
          <cell r="J16"/>
          <cell r="K16"/>
          <cell r="L16"/>
        </row>
        <row r="17">
          <cell r="B17" t="str">
            <v>TQ03</v>
          </cell>
          <cell r="C17"/>
          <cell r="D17" t="str">
            <v>TANQUE TETRAOIL 03 U3</v>
          </cell>
          <cell r="E17"/>
          <cell r="F17"/>
          <cell r="G17"/>
          <cell r="H17"/>
          <cell r="I17"/>
          <cell r="J17"/>
          <cell r="K17"/>
          <cell r="L17"/>
        </row>
        <row r="18">
          <cell r="B18" t="str">
            <v>TQ04</v>
          </cell>
          <cell r="C18"/>
          <cell r="D18" t="str">
            <v>TANQUE TETRAOIL EDMIL</v>
          </cell>
          <cell r="E18"/>
          <cell r="F18"/>
          <cell r="G18"/>
          <cell r="H18"/>
          <cell r="I18"/>
          <cell r="J18"/>
          <cell r="K18"/>
          <cell r="L18"/>
        </row>
        <row r="19">
          <cell r="B19" t="str">
            <v>FO08</v>
          </cell>
          <cell r="C19"/>
          <cell r="D19" t="str">
            <v>POSTO 100 POR CENTO</v>
          </cell>
          <cell r="E19" t="str">
            <v>48.688.944/0002-00</v>
          </cell>
          <cell r="F19" t="str">
            <v>COMERCIAL DE COMBUSTIVEIS CEM POR CENTO LTDA</v>
          </cell>
          <cell r="G19" t="str">
            <v>---</v>
          </cell>
          <cell r="H19" t="str">
            <v>---</v>
          </cell>
          <cell r="I19" t="str">
            <v>---</v>
          </cell>
          <cell r="J19" t="str">
            <v>---</v>
          </cell>
          <cell r="K19" t="str">
            <v>---</v>
          </cell>
          <cell r="L19" t="str">
            <v>---</v>
          </cell>
        </row>
        <row r="20"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</row>
        <row r="21">
          <cell r="B21"/>
          <cell r="C21"/>
          <cell r="E21"/>
          <cell r="F21"/>
          <cell r="G21"/>
          <cell r="H21"/>
          <cell r="I21"/>
          <cell r="J21"/>
          <cell r="K21"/>
          <cell r="L21"/>
        </row>
        <row r="22"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/>
        </row>
        <row r="23"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</row>
        <row r="24"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</row>
        <row r="25"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</row>
        <row r="26">
          <cell r="B26" t="str">
            <v>T-CM04</v>
          </cell>
          <cell r="C26" t="str">
            <v>T-PNX8017</v>
          </cell>
          <cell r="D26" t="str">
            <v>TANQUE ABAST. CM04</v>
          </cell>
          <cell r="E26" t="str">
            <v>CÉLIO</v>
          </cell>
          <cell r="F26"/>
          <cell r="G26" t="str">
            <v>COPA ENGENHARIA</v>
          </cell>
          <cell r="H26"/>
          <cell r="I26"/>
          <cell r="J26"/>
          <cell r="K26"/>
          <cell r="L26"/>
        </row>
        <row r="27">
          <cell r="B27" t="str">
            <v>T-CM05</v>
          </cell>
          <cell r="C27" t="str">
            <v>T-OHX2270</v>
          </cell>
          <cell r="D27" t="str">
            <v>TANQUE ABAST. CM05</v>
          </cell>
          <cell r="E27" t="str">
            <v>CÉLIO</v>
          </cell>
          <cell r="F27"/>
          <cell r="G27" t="str">
            <v>COPA ENGENHARIA</v>
          </cell>
          <cell r="H27"/>
          <cell r="I27"/>
          <cell r="J27"/>
          <cell r="K27"/>
          <cell r="L27"/>
        </row>
        <row r="28">
          <cell r="B28" t="str">
            <v>T-CMMM</v>
          </cell>
          <cell r="C28" t="str">
            <v>T-MELOSA MM</v>
          </cell>
          <cell r="D28" t="str">
            <v>TANQUE ABAST. MARCO MONTE</v>
          </cell>
          <cell r="E28" t="str">
            <v>WAGNER</v>
          </cell>
          <cell r="F28"/>
          <cell r="G28" t="str">
            <v>MARCO MONTE</v>
          </cell>
          <cell r="H28"/>
          <cell r="I28"/>
          <cell r="J28"/>
          <cell r="K28"/>
          <cell r="L28"/>
        </row>
        <row r="29">
          <cell r="B29"/>
          <cell r="C29"/>
          <cell r="D29"/>
        </row>
        <row r="30">
          <cell r="B30" t="str">
            <v>PREFIXO</v>
          </cell>
          <cell r="C30"/>
          <cell r="D30" t="str">
            <v>EQUIPAMENTO</v>
          </cell>
        </row>
        <row r="31">
          <cell r="B31"/>
          <cell r="C31"/>
          <cell r="D31"/>
        </row>
        <row r="32">
          <cell r="B32" t="str">
            <v>CB10</v>
          </cell>
          <cell r="C32" t="str">
            <v>OZA3176</v>
          </cell>
          <cell r="D32" t="str">
            <v>CB COPA</v>
          </cell>
        </row>
        <row r="33">
          <cell r="B33" t="str">
            <v>CB11</v>
          </cell>
          <cell r="C33" t="str">
            <v>OSP9850</v>
          </cell>
          <cell r="D33" t="str">
            <v>CB COPA</v>
          </cell>
        </row>
        <row r="34">
          <cell r="B34" t="str">
            <v>CB12</v>
          </cell>
          <cell r="C34" t="str">
            <v>PNX5G67</v>
          </cell>
          <cell r="D34" t="str">
            <v>CB COPA</v>
          </cell>
        </row>
        <row r="35">
          <cell r="B35" t="str">
            <v>CB13</v>
          </cell>
          <cell r="C35" t="str">
            <v>POK2486</v>
          </cell>
          <cell r="D35" t="str">
            <v>CB COPA</v>
          </cell>
        </row>
        <row r="36">
          <cell r="B36" t="str">
            <v>CB14</v>
          </cell>
          <cell r="C36" t="str">
            <v>PON7E59</v>
          </cell>
          <cell r="D36" t="str">
            <v>CB COPA</v>
          </cell>
        </row>
        <row r="37">
          <cell r="B37" t="str">
            <v>CB15</v>
          </cell>
          <cell r="C37" t="str">
            <v>PON9D53</v>
          </cell>
          <cell r="D37" t="str">
            <v>CB COPA</v>
          </cell>
        </row>
        <row r="38">
          <cell r="B38" t="str">
            <v>CB16</v>
          </cell>
          <cell r="C38" t="str">
            <v>PON9G13</v>
          </cell>
          <cell r="D38" t="str">
            <v>CB COPA</v>
          </cell>
        </row>
        <row r="39">
          <cell r="B39" t="str">
            <v>CB18</v>
          </cell>
          <cell r="C39" t="str">
            <v>SBP6D64</v>
          </cell>
          <cell r="D39" t="str">
            <v>CB COPA</v>
          </cell>
        </row>
        <row r="40">
          <cell r="B40" t="str">
            <v>CB19</v>
          </cell>
          <cell r="C40" t="str">
            <v>THT3E02</v>
          </cell>
          <cell r="D40" t="str">
            <v>CB COPA</v>
          </cell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 t="str">
            <v>PREFIXO</v>
          </cell>
          <cell r="C43"/>
          <cell r="D43" t="str">
            <v>EQUIPAMENTO</v>
          </cell>
        </row>
        <row r="44">
          <cell r="B44"/>
          <cell r="C44"/>
          <cell r="D44"/>
        </row>
        <row r="45">
          <cell r="B45" t="str">
            <v>CB21</v>
          </cell>
          <cell r="C45" t="str">
            <v>OCG0D83</v>
          </cell>
          <cell r="D45" t="str">
            <v>CAÇAMBA CONE</v>
          </cell>
        </row>
        <row r="46">
          <cell r="B46" t="str">
            <v>CB22</v>
          </cell>
          <cell r="C46" t="str">
            <v>NQW6703</v>
          </cell>
          <cell r="D46" t="str">
            <v>CAÇAMBA CONE</v>
          </cell>
        </row>
        <row r="47">
          <cell r="B47" t="str">
            <v>CB23</v>
          </cell>
          <cell r="C47" t="str">
            <v>NUR7393</v>
          </cell>
          <cell r="D47" t="str">
            <v>CAÇAMBA CONE</v>
          </cell>
        </row>
        <row r="48">
          <cell r="B48" t="str">
            <v>CB24</v>
          </cell>
          <cell r="C48" t="str">
            <v>NYX5J83</v>
          </cell>
          <cell r="D48" t="str">
            <v>CAÇAMBA MARDÔNIO</v>
          </cell>
        </row>
        <row r="49">
          <cell r="B49" t="str">
            <v>CB25</v>
          </cell>
          <cell r="C49" t="str">
            <v>PGP3J02</v>
          </cell>
          <cell r="D49" t="str">
            <v>CAÇAMBA MARDÔNIO</v>
          </cell>
        </row>
        <row r="50">
          <cell r="B50" t="str">
            <v>CB29</v>
          </cell>
          <cell r="C50" t="str">
            <v>MWA3B64</v>
          </cell>
          <cell r="D50" t="str">
            <v>CAÇAMBA MARDÔNIO</v>
          </cell>
        </row>
        <row r="51">
          <cell r="B51" t="str">
            <v>CB30</v>
          </cell>
          <cell r="C51" t="str">
            <v>HKE5275</v>
          </cell>
          <cell r="D51" t="str">
            <v>CAÇAMBA MARDÔNIO</v>
          </cell>
        </row>
        <row r="52">
          <cell r="B52" t="str">
            <v>CB26</v>
          </cell>
          <cell r="C52" t="str">
            <v>OCG5G63</v>
          </cell>
          <cell r="D52" t="str">
            <v>CAÇAMBA-LCM 01</v>
          </cell>
        </row>
        <row r="53">
          <cell r="B53" t="str">
            <v>CB27</v>
          </cell>
          <cell r="C53" t="str">
            <v>NUY5972</v>
          </cell>
          <cell r="D53" t="str">
            <v>CAÇAMBA-LCM 02</v>
          </cell>
        </row>
        <row r="54">
          <cell r="B54" t="str">
            <v>CB28</v>
          </cell>
          <cell r="C54" t="str">
            <v>HWF6B63</v>
          </cell>
          <cell r="D54" t="str">
            <v>CAÇAMBA-ZÉ ILAS</v>
          </cell>
        </row>
        <row r="55">
          <cell r="B55"/>
          <cell r="C55"/>
          <cell r="D55"/>
        </row>
        <row r="56">
          <cell r="B56" t="str">
            <v>CAÇAMBAS NORDBRITA</v>
          </cell>
          <cell r="C56"/>
          <cell r="D56"/>
        </row>
        <row r="57">
          <cell r="B57" t="str">
            <v>NB01</v>
          </cell>
          <cell r="C57" t="str">
            <v>PMP6058</v>
          </cell>
          <cell r="D57" t="str">
            <v>CAÇAMBA NORDBRITA</v>
          </cell>
        </row>
        <row r="58">
          <cell r="B58" t="str">
            <v>CB ZI 2</v>
          </cell>
          <cell r="C58" t="str">
            <v>CSY9E01</v>
          </cell>
          <cell r="D58" t="str">
            <v>CAÇAMBA 2 ZÉ ILAS</v>
          </cell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 t="str">
            <v>CAÇAMBAS TERCEIROS -SAMARIA</v>
          </cell>
          <cell r="C61"/>
          <cell r="D61"/>
        </row>
        <row r="62">
          <cell r="B62" t="str">
            <v>CB S1</v>
          </cell>
          <cell r="C62" t="str">
            <v>HYR1B14</v>
          </cell>
          <cell r="D62" t="str">
            <v>CAÇAMBA 1 SAMARIA</v>
          </cell>
        </row>
        <row r="63">
          <cell r="B63" t="str">
            <v>CB S2</v>
          </cell>
          <cell r="C63" t="str">
            <v>SBY9B39</v>
          </cell>
          <cell r="D63" t="str">
            <v>CAÇAMBA 1 SAMARIA</v>
          </cell>
        </row>
        <row r="64">
          <cell r="B64" t="str">
            <v>CB S3</v>
          </cell>
          <cell r="C64" t="str">
            <v>SBP7J49</v>
          </cell>
          <cell r="D64" t="str">
            <v>CAÇAMBA 1 SAMARIA</v>
          </cell>
        </row>
        <row r="65">
          <cell r="B65" t="str">
            <v>CB54</v>
          </cell>
          <cell r="C65" t="str">
            <v>NRC0816</v>
          </cell>
          <cell r="D65" t="str">
            <v>CAÇAMBA 1 SAMARIA</v>
          </cell>
        </row>
        <row r="66">
          <cell r="B66" t="str">
            <v>B.T.N.</v>
          </cell>
          <cell r="C66" t="str">
            <v>BI-T-NORD</v>
          </cell>
          <cell r="D66" t="str">
            <v>BI-TRUK NORDIBRITA</v>
          </cell>
        </row>
        <row r="67">
          <cell r="B67"/>
          <cell r="C67"/>
          <cell r="D67"/>
        </row>
        <row r="68">
          <cell r="B68" t="str">
            <v>EQUIPAMENTOS NO TRECHO</v>
          </cell>
          <cell r="C68"/>
          <cell r="D68"/>
        </row>
        <row r="69">
          <cell r="B69" t="str">
            <v>LT01</v>
          </cell>
          <cell r="C69" t="str">
            <v>LIMPEZA-TRECHO</v>
          </cell>
          <cell r="D69" t="str">
            <v>LIMP FERRAMENTAS E MESA ACABADORA</v>
          </cell>
        </row>
        <row r="70">
          <cell r="B70" t="str">
            <v>RC01</v>
          </cell>
          <cell r="C70" t="str">
            <v>CC142C</v>
          </cell>
          <cell r="D70" t="str">
            <v>ROLO COMP VIBR COMBINADO</v>
          </cell>
        </row>
        <row r="71">
          <cell r="B71" t="str">
            <v>RC02</v>
          </cell>
          <cell r="C71" t="str">
            <v>CC142</v>
          </cell>
          <cell r="D71" t="str">
            <v>ROLO COMP VIBR COMBINADO</v>
          </cell>
        </row>
        <row r="72">
          <cell r="B72" t="str">
            <v>RP01</v>
          </cell>
          <cell r="C72" t="str">
            <v>SP 8000</v>
          </cell>
          <cell r="D72" t="str">
            <v>ROLO DE PNEUS TEMA SP 8000</v>
          </cell>
        </row>
        <row r="73">
          <cell r="B73" t="str">
            <v>RT03</v>
          </cell>
          <cell r="C73" t="str">
            <v>CC1200C</v>
          </cell>
          <cell r="D73" t="str">
            <v>ROLO HAMM HD10</v>
          </cell>
        </row>
        <row r="74">
          <cell r="B74" t="str">
            <v>RP02</v>
          </cell>
          <cell r="C74" t="str">
            <v>CP221</v>
          </cell>
          <cell r="D74" t="str">
            <v>ROLO DE PNEUS RP02</v>
          </cell>
        </row>
        <row r="75">
          <cell r="B75" t="str">
            <v>RP05</v>
          </cell>
          <cell r="C75" t="str">
            <v>CP1200</v>
          </cell>
          <cell r="D75" t="str">
            <v>ROLO DE PNEUS</v>
          </cell>
        </row>
        <row r="76">
          <cell r="B76" t="str">
            <v>RV04</v>
          </cell>
          <cell r="C76" t="str">
            <v>ROLO RV 04</v>
          </cell>
          <cell r="D76" t="str">
            <v>ROLO VIBRATORIO 04</v>
          </cell>
        </row>
        <row r="77">
          <cell r="B77" t="str">
            <v>CE03</v>
          </cell>
          <cell r="C77" t="str">
            <v>HEJ6537</v>
          </cell>
          <cell r="D77" t="str">
            <v>CAM. ESPARG.  CE-03</v>
          </cell>
        </row>
        <row r="78">
          <cell r="B78" t="str">
            <v>M-CE03</v>
          </cell>
          <cell r="C78" t="str">
            <v>M-HEJ6537</v>
          </cell>
          <cell r="D78" t="str">
            <v>MACARICO ESPARGIDOR CE-03</v>
          </cell>
        </row>
        <row r="79">
          <cell r="B79" t="str">
            <v>CE05</v>
          </cell>
          <cell r="C79" t="str">
            <v>OSU4525</v>
          </cell>
          <cell r="D79" t="str">
            <v>CAMINHÃO ESPARGIDOR CE-05</v>
          </cell>
        </row>
        <row r="80">
          <cell r="B80" t="str">
            <v>M-CE05</v>
          </cell>
          <cell r="C80" t="str">
            <v>M-OSU4525</v>
          </cell>
          <cell r="D80" t="str">
            <v>MAÇARICO ESPARGIDOR CE-05</v>
          </cell>
        </row>
        <row r="81">
          <cell r="B81" t="str">
            <v>CE06</v>
          </cell>
          <cell r="C81" t="str">
            <v>NVB3996</v>
          </cell>
          <cell r="D81" t="str">
            <v>CAMINHÃO ESPARGIDOR CE-06</v>
          </cell>
        </row>
        <row r="82">
          <cell r="B82" t="str">
            <v>M-CE06</v>
          </cell>
          <cell r="C82" t="str">
            <v>M-NVB3996</v>
          </cell>
          <cell r="D82" t="str">
            <v>MAÇARICO CE 06</v>
          </cell>
        </row>
        <row r="83">
          <cell r="B83" t="str">
            <v>CE04</v>
          </cell>
          <cell r="C83" t="str">
            <v>OSV2854</v>
          </cell>
          <cell r="D83" t="str">
            <v>CAMINHÃO ESPARG CE-04</v>
          </cell>
        </row>
        <row r="84">
          <cell r="B84" t="str">
            <v>TCE04</v>
          </cell>
          <cell r="C84" t="str">
            <v>M-OSV2854</v>
          </cell>
          <cell r="D84" t="str">
            <v>MASSARICO ESPARGIDOR CE-04</v>
          </cell>
        </row>
        <row r="85">
          <cell r="B85" t="str">
            <v>VA05</v>
          </cell>
          <cell r="C85" t="str">
            <v>VA AF 4000</v>
          </cell>
          <cell r="D85" t="str">
            <v>VIBRO ACABADORA CIBER AF 4000</v>
          </cell>
        </row>
        <row r="86">
          <cell r="B86" t="str">
            <v>VA04</v>
          </cell>
          <cell r="C86" t="str">
            <v>VA LEE BOY</v>
          </cell>
          <cell r="D86" t="str">
            <v>VIBRO ACABADORA DE ASFALTO</v>
          </cell>
        </row>
        <row r="87">
          <cell r="B87" t="str">
            <v>VA05</v>
          </cell>
          <cell r="C87" t="str">
            <v>VA CIBER 05</v>
          </cell>
          <cell r="D87" t="str">
            <v>VIBRO ACABADORA DE ASFALTO</v>
          </cell>
        </row>
        <row r="88">
          <cell r="B88" t="str">
            <v>VA06</v>
          </cell>
          <cell r="C88" t="str">
            <v>VA VOGERE 06</v>
          </cell>
          <cell r="D88" t="str">
            <v>VIBRO ACABADORA DE ASFALTO</v>
          </cell>
        </row>
        <row r="89">
          <cell r="B89" t="str">
            <v>VA07</v>
          </cell>
          <cell r="C89" t="str">
            <v>VA DYNAPAC 07</v>
          </cell>
          <cell r="D89" t="str">
            <v>VIBRO ACABADORA DE ASFALTO</v>
          </cell>
        </row>
        <row r="90">
          <cell r="B90" t="str">
            <v>RT04</v>
          </cell>
          <cell r="C90" t="str">
            <v>ROLO TANDER</v>
          </cell>
          <cell r="D90" t="str">
            <v>ROLO TANDER</v>
          </cell>
        </row>
        <row r="91">
          <cell r="B91" t="str">
            <v>PVIB01</v>
          </cell>
          <cell r="C91" t="str">
            <v>PLACA VIBRATÓRIA</v>
          </cell>
          <cell r="D91" t="str">
            <v>PLACA VIBRATÓRIA</v>
          </cell>
        </row>
        <row r="92">
          <cell r="B92" t="str">
            <v>M.O.AP</v>
          </cell>
          <cell r="C92" t="str">
            <v>JQQ0A97</v>
          </cell>
          <cell r="D92" t="str">
            <v>MICRO ÔNIBUS DE APOIO</v>
          </cell>
        </row>
        <row r="93">
          <cell r="B93" t="str">
            <v>CR01</v>
          </cell>
          <cell r="C93" t="str">
            <v>SAX8C32</v>
          </cell>
          <cell r="D93" t="str">
            <v>CAMINHÃO REBOQUE</v>
          </cell>
        </row>
        <row r="94">
          <cell r="B94" t="str">
            <v>R TERC</v>
          </cell>
          <cell r="C94" t="str">
            <v>RETRO TERC</v>
          </cell>
          <cell r="D94" t="str">
            <v>RETROESCAVADEIRA P/DESCA CARRETA</v>
          </cell>
        </row>
        <row r="95">
          <cell r="B95"/>
          <cell r="C95"/>
          <cell r="D95"/>
        </row>
        <row r="96">
          <cell r="B96" t="str">
            <v>UA02</v>
          </cell>
          <cell r="C96" t="str">
            <v>USINA 02</v>
          </cell>
          <cell r="D96" t="str">
            <v>USINA  CIBER 02</v>
          </cell>
        </row>
        <row r="97">
          <cell r="B97" t="str">
            <v>UA03</v>
          </cell>
          <cell r="C97" t="str">
            <v>USINA 03</v>
          </cell>
          <cell r="D97" t="str">
            <v>USINA TEREX 03</v>
          </cell>
        </row>
        <row r="98">
          <cell r="B98" t="str">
            <v>JB02</v>
          </cell>
          <cell r="C98" t="str">
            <v>JUMBO 02</v>
          </cell>
          <cell r="D98" t="str">
            <v>JUMBO CIBER 02</v>
          </cell>
        </row>
        <row r="99">
          <cell r="B99" t="str">
            <v>JB03</v>
          </cell>
          <cell r="C99" t="str">
            <v>JUMBO 03</v>
          </cell>
          <cell r="D99" t="str">
            <v>JUMBO TEREX 03</v>
          </cell>
        </row>
        <row r="100">
          <cell r="B100" t="str">
            <v>PC04</v>
          </cell>
          <cell r="C100" t="str">
            <v>924 K 04</v>
          </cell>
          <cell r="D100" t="str">
            <v>PÁ MECÂNICA 04</v>
          </cell>
        </row>
        <row r="101">
          <cell r="B101" t="str">
            <v>PC05</v>
          </cell>
          <cell r="C101" t="str">
            <v>924 K 05</v>
          </cell>
          <cell r="D101" t="str">
            <v>PÁ MECÂNICA 05</v>
          </cell>
        </row>
        <row r="102">
          <cell r="B102" t="str">
            <v>GG04</v>
          </cell>
          <cell r="C102" t="str">
            <v>GERADOR 04</v>
          </cell>
          <cell r="D102" t="str">
            <v>GERADOR 04</v>
          </cell>
        </row>
        <row r="103">
          <cell r="B103" t="str">
            <v>GG05</v>
          </cell>
          <cell r="C103" t="str">
            <v>GERADOR 05</v>
          </cell>
          <cell r="D103" t="str">
            <v>GERADOR PEQUENO 05</v>
          </cell>
        </row>
        <row r="104">
          <cell r="B104" t="str">
            <v>GG06</v>
          </cell>
          <cell r="C104" t="str">
            <v>GERADOR 06</v>
          </cell>
          <cell r="D104" t="str">
            <v>GERADOR 06</v>
          </cell>
        </row>
        <row r="105">
          <cell r="B105" t="str">
            <v>LC01</v>
          </cell>
          <cell r="C105" t="str">
            <v>LIMPEZA-CAÇAMBAS</v>
          </cell>
          <cell r="D105" t="str">
            <v>LIMPEZA DAS CAÇAMBAS</v>
          </cell>
        </row>
        <row r="106">
          <cell r="B106" t="str">
            <v>GGMM</v>
          </cell>
          <cell r="C106" t="str">
            <v>GG UA MM</v>
          </cell>
          <cell r="D106" t="str">
            <v>GRUPO GERADOR USINA M. MONTE</v>
          </cell>
        </row>
        <row r="107">
          <cell r="B107" t="str">
            <v>JBMM</v>
          </cell>
          <cell r="C107" t="str">
            <v>JUMBO UA MM</v>
          </cell>
          <cell r="D107" t="str">
            <v>JUMBO USINA M. MANTE</v>
          </cell>
        </row>
        <row r="108">
          <cell r="B108" t="str">
            <v>PCMM</v>
          </cell>
          <cell r="C108" t="str">
            <v>PC UA MM</v>
          </cell>
          <cell r="D108" t="str">
            <v>PÁ CARREGADEIRA UA M. MONTE</v>
          </cell>
        </row>
        <row r="109">
          <cell r="B109"/>
          <cell r="C109"/>
          <cell r="D109"/>
        </row>
        <row r="110">
          <cell r="B110"/>
          <cell r="C110"/>
          <cell r="D110"/>
        </row>
        <row r="111">
          <cell r="B111"/>
          <cell r="C111"/>
          <cell r="D111"/>
        </row>
        <row r="112">
          <cell r="B112" t="str">
            <v>CM05</v>
          </cell>
          <cell r="C112" t="str">
            <v>OHX2270</v>
          </cell>
          <cell r="D112" t="str">
            <v>CAM. MELOSO CM 05</v>
          </cell>
        </row>
        <row r="113">
          <cell r="B113" t="str">
            <v>CM04</v>
          </cell>
          <cell r="C113" t="str">
            <v>PNX8017</v>
          </cell>
          <cell r="D113" t="str">
            <v>CAM. MELOSO CM 04</v>
          </cell>
        </row>
        <row r="114">
          <cell r="B114" t="str">
            <v>CA01</v>
          </cell>
          <cell r="C114" t="str">
            <v>PNP5736</v>
          </cell>
          <cell r="D114" t="str">
            <v>CAMINHÃO DE APOIO</v>
          </cell>
        </row>
        <row r="115">
          <cell r="B115" t="str">
            <v>CP01</v>
          </cell>
          <cell r="C115" t="str">
            <v>POA3579</v>
          </cell>
          <cell r="D115" t="str">
            <v>CAMINHÃO PIPA</v>
          </cell>
        </row>
        <row r="116">
          <cell r="B116" t="str">
            <v>VE01</v>
          </cell>
          <cell r="C116" t="str">
            <v>HVV9901</v>
          </cell>
          <cell r="D116" t="str">
            <v>VERANEIO</v>
          </cell>
        </row>
        <row r="117">
          <cell r="B117" t="str">
            <v>TA01</v>
          </cell>
          <cell r="C117" t="str">
            <v>IPJ8864</v>
          </cell>
          <cell r="D117" t="str">
            <v>TANQUE P/ CAP 01</v>
          </cell>
        </row>
        <row r="118">
          <cell r="B118" t="str">
            <v>MTQ01</v>
          </cell>
          <cell r="C118" t="str">
            <v>M-IPJ8864</v>
          </cell>
          <cell r="D118" t="str">
            <v>MAÇARICO TANQUE 01</v>
          </cell>
        </row>
        <row r="119">
          <cell r="B119" t="str">
            <v>CTQ02</v>
          </cell>
          <cell r="C119" t="str">
            <v>PMU3018</v>
          </cell>
          <cell r="D119" t="str">
            <v>TANQUE P/ CAP 02</v>
          </cell>
        </row>
        <row r="120">
          <cell r="B120" t="str">
            <v>M-TQ02</v>
          </cell>
          <cell r="C120" t="str">
            <v>M-PMU3018</v>
          </cell>
          <cell r="D120" t="str">
            <v>MAÇARICO TANQUE 02</v>
          </cell>
        </row>
        <row r="121">
          <cell r="B121" t="str">
            <v>CT02</v>
          </cell>
          <cell r="C121" t="str">
            <v>PMZ8670</v>
          </cell>
          <cell r="D121" t="str">
            <v>TANQUE P/ CAP</v>
          </cell>
        </row>
        <row r="122">
          <cell r="B122" t="str">
            <v>CT03</v>
          </cell>
          <cell r="C122" t="str">
            <v>PNO7767</v>
          </cell>
          <cell r="D122" t="str">
            <v>CARRETA COPA 03</v>
          </cell>
        </row>
        <row r="123">
          <cell r="B123" t="str">
            <v>CP01</v>
          </cell>
          <cell r="C123" t="str">
            <v>NVB8020</v>
          </cell>
          <cell r="D123" t="str">
            <v>CAMINHÃO PLATAFORMA 01</v>
          </cell>
        </row>
        <row r="124">
          <cell r="B124" t="str">
            <v>CP11</v>
          </cell>
          <cell r="C124" t="str">
            <v>SBC1C59</v>
          </cell>
          <cell r="D124" t="str">
            <v>CAMINHÃO PLATAFORMA TERC</v>
          </cell>
        </row>
        <row r="125">
          <cell r="B125" t="str">
            <v>VC28</v>
          </cell>
          <cell r="C125" t="str">
            <v>SBA6173</v>
          </cell>
          <cell r="D125" t="str">
            <v>S-10</v>
          </cell>
        </row>
        <row r="126">
          <cell r="B126" t="str">
            <v>M-01</v>
          </cell>
          <cell r="C126" t="str">
            <v>MINERMAC</v>
          </cell>
          <cell r="D126" t="str">
            <v>MINERMAC</v>
          </cell>
        </row>
        <row r="127">
          <cell r="B127" t="str">
            <v>RE-01</v>
          </cell>
          <cell r="C127" t="str">
            <v>RETRO 01</v>
          </cell>
          <cell r="D127" t="str">
            <v>RETROESCAVADEIRA CASE</v>
          </cell>
        </row>
        <row r="128">
          <cell r="B128" t="str">
            <v>EQ01</v>
          </cell>
          <cell r="C128" t="str">
            <v>EH03</v>
          </cell>
          <cell r="D128" t="str">
            <v>ESCAVADEIRA HIDRÁULICA CX220</v>
          </cell>
        </row>
        <row r="129">
          <cell r="B129" t="str">
            <v>EQ02</v>
          </cell>
          <cell r="C129" t="str">
            <v>MN06</v>
          </cell>
          <cell r="D129" t="str">
            <v>MOTONIVELADORA MN06</v>
          </cell>
        </row>
        <row r="130">
          <cell r="B130" t="str">
            <v>EQ03</v>
          </cell>
          <cell r="C130" t="str">
            <v>RV04</v>
          </cell>
          <cell r="D130" t="str">
            <v>ROLO COMACTADOR DYNAPAC</v>
          </cell>
        </row>
        <row r="131">
          <cell r="B131"/>
          <cell r="C131"/>
          <cell r="D131"/>
        </row>
        <row r="132">
          <cell r="B132"/>
          <cell r="C132"/>
          <cell r="D132"/>
        </row>
        <row r="133">
          <cell r="B133"/>
          <cell r="C133"/>
          <cell r="D133"/>
        </row>
        <row r="134">
          <cell r="B134" t="str">
            <v>PREFIXO</v>
          </cell>
          <cell r="C134"/>
          <cell r="D134" t="str">
            <v>EQUIPAMENTO</v>
          </cell>
        </row>
        <row r="135">
          <cell r="B135"/>
          <cell r="C135"/>
          <cell r="D135"/>
        </row>
        <row r="136">
          <cell r="B136" t="str">
            <v>VC06</v>
          </cell>
          <cell r="C136" t="str">
            <v>POK1620</v>
          </cell>
          <cell r="D136" t="str">
            <v>FOX</v>
          </cell>
        </row>
        <row r="137">
          <cell r="B137" t="str">
            <v>VC14</v>
          </cell>
          <cell r="C137" t="str">
            <v>PNZ2668</v>
          </cell>
          <cell r="D137" t="str">
            <v>SAVEIRO</v>
          </cell>
        </row>
        <row r="138">
          <cell r="B138" t="str">
            <v>VC21</v>
          </cell>
          <cell r="C138" t="str">
            <v>PON4I92</v>
          </cell>
          <cell r="D138" t="str">
            <v>GOL</v>
          </cell>
        </row>
        <row r="139">
          <cell r="B139" t="str">
            <v>VC22</v>
          </cell>
          <cell r="C139" t="str">
            <v>SAU8F49</v>
          </cell>
          <cell r="D139" t="str">
            <v>SAVEIRO</v>
          </cell>
        </row>
        <row r="140">
          <cell r="B140" t="str">
            <v>VC23</v>
          </cell>
          <cell r="C140" t="str">
            <v>SBO3G34</v>
          </cell>
          <cell r="D140" t="str">
            <v>ARGO</v>
          </cell>
        </row>
        <row r="141">
          <cell r="B141" t="str">
            <v>VC24</v>
          </cell>
          <cell r="C141" t="str">
            <v>RII2E47</v>
          </cell>
          <cell r="D141" t="str">
            <v>PAJERO</v>
          </cell>
        </row>
        <row r="142">
          <cell r="B142" t="str">
            <v>VC25</v>
          </cell>
          <cell r="C142" t="str">
            <v>SIZ4J02</v>
          </cell>
          <cell r="D142" t="str">
            <v>KWID</v>
          </cell>
        </row>
        <row r="143">
          <cell r="B143" t="str">
            <v>VC26</v>
          </cell>
          <cell r="C143" t="str">
            <v>PNC7863</v>
          </cell>
          <cell r="D143" t="str">
            <v>FORDCAR</v>
          </cell>
        </row>
        <row r="144">
          <cell r="B144" t="str">
            <v>VC27</v>
          </cell>
          <cell r="C144" t="str">
            <v>SYZ2A26</v>
          </cell>
          <cell r="D144" t="str">
            <v>FIAT MOBI</v>
          </cell>
        </row>
        <row r="145">
          <cell r="B145" t="str">
            <v>VC27</v>
          </cell>
          <cell r="C145" t="str">
            <v>SBB9F67</v>
          </cell>
          <cell r="D145" t="str">
            <v>JEEP COMPAS</v>
          </cell>
        </row>
        <row r="146">
          <cell r="B146" t="str">
            <v>VC28</v>
          </cell>
          <cell r="C146" t="str">
            <v>SBA6I73</v>
          </cell>
          <cell r="D146" t="str">
            <v>S-10</v>
          </cell>
        </row>
        <row r="147">
          <cell r="B147"/>
          <cell r="C147"/>
          <cell r="D147"/>
        </row>
        <row r="148">
          <cell r="B148"/>
          <cell r="C148"/>
          <cell r="D148"/>
        </row>
        <row r="149">
          <cell r="B149" t="str">
            <v>VT03</v>
          </cell>
          <cell r="C149" t="str">
            <v>OSD6B81</v>
          </cell>
          <cell r="D149" t="str">
            <v>STRADA</v>
          </cell>
        </row>
        <row r="150">
          <cell r="B150" t="str">
            <v>VT04</v>
          </cell>
          <cell r="C150" t="str">
            <v>NVC8214</v>
          </cell>
          <cell r="D150" t="str">
            <v>GOL</v>
          </cell>
        </row>
        <row r="151">
          <cell r="B151" t="str">
            <v>VT05</v>
          </cell>
          <cell r="C151" t="str">
            <v>AUT7H23</v>
          </cell>
          <cell r="D151" t="str">
            <v>VOYAGE</v>
          </cell>
        </row>
        <row r="152">
          <cell r="B152" t="str">
            <v>VT06</v>
          </cell>
          <cell r="C152" t="str">
            <v>RIF2192</v>
          </cell>
          <cell r="D152" t="str">
            <v xml:space="preserve">MOTO </v>
          </cell>
        </row>
        <row r="153">
          <cell r="B153" t="str">
            <v>VT08</v>
          </cell>
          <cell r="C153" t="str">
            <v>OCN7B17</v>
          </cell>
          <cell r="D153" t="str">
            <v xml:space="preserve">MOTO </v>
          </cell>
        </row>
        <row r="154">
          <cell r="B154" t="str">
            <v>VT09</v>
          </cell>
          <cell r="C154" t="str">
            <v>KMA3G38</v>
          </cell>
          <cell r="D154" t="str">
            <v>COROLA</v>
          </cell>
        </row>
        <row r="155">
          <cell r="B155" t="str">
            <v>VT10</v>
          </cell>
          <cell r="C155" t="str">
            <v>RIJ9E30</v>
          </cell>
          <cell r="D155" t="str">
            <v xml:space="preserve">MOTO </v>
          </cell>
        </row>
        <row r="156">
          <cell r="B156" t="str">
            <v>VT11</v>
          </cell>
          <cell r="C156" t="str">
            <v>SBO1A58</v>
          </cell>
          <cell r="D156" t="str">
            <v xml:space="preserve">MOTO </v>
          </cell>
        </row>
        <row r="157">
          <cell r="B157" t="str">
            <v>VT12</v>
          </cell>
          <cell r="C157" t="str">
            <v>HWW8389</v>
          </cell>
          <cell r="D157" t="str">
            <v xml:space="preserve">MOTO </v>
          </cell>
        </row>
        <row r="158">
          <cell r="B158" t="str">
            <v>VT13</v>
          </cell>
          <cell r="C158" t="str">
            <v>HXL5674</v>
          </cell>
          <cell r="D158" t="str">
            <v>CELTA</v>
          </cell>
        </row>
        <row r="159">
          <cell r="B159" t="str">
            <v>VT14</v>
          </cell>
          <cell r="C159" t="str">
            <v>OSP5227</v>
          </cell>
          <cell r="D159" t="str">
            <v>FOX</v>
          </cell>
        </row>
        <row r="160">
          <cell r="B160" t="str">
            <v>VT15</v>
          </cell>
          <cell r="C160" t="str">
            <v>MYY7536</v>
          </cell>
          <cell r="D160" t="str">
            <v>PARATI</v>
          </cell>
        </row>
        <row r="161">
          <cell r="B161" t="str">
            <v>VT16</v>
          </cell>
          <cell r="C161" t="str">
            <v>SAR8B35</v>
          </cell>
          <cell r="D161" t="str">
            <v>SAVEIRO</v>
          </cell>
        </row>
        <row r="162">
          <cell r="B162" t="str">
            <v>VT17</v>
          </cell>
          <cell r="C162" t="str">
            <v>OIC8768</v>
          </cell>
          <cell r="D162" t="str">
            <v>CLASSIC</v>
          </cell>
        </row>
        <row r="163">
          <cell r="B163" t="str">
            <v>VT18</v>
          </cell>
          <cell r="C163" t="str">
            <v>PME4890</v>
          </cell>
          <cell r="D163" t="str">
            <v>PALIO</v>
          </cell>
        </row>
        <row r="164">
          <cell r="B164" t="str">
            <v>VT19</v>
          </cell>
          <cell r="C164" t="str">
            <v>HVI3F83</v>
          </cell>
          <cell r="D164" t="str">
            <v>CHEVETE</v>
          </cell>
        </row>
        <row r="165">
          <cell r="B165" t="str">
            <v>VT20</v>
          </cell>
          <cell r="C165" t="str">
            <v>ORP3H33</v>
          </cell>
          <cell r="D165" t="str">
            <v xml:space="preserve">MOTO </v>
          </cell>
        </row>
        <row r="166">
          <cell r="B166" t="str">
            <v>VT21</v>
          </cell>
          <cell r="C166" t="str">
            <v>NPV3A90</v>
          </cell>
          <cell r="D166" t="str">
            <v>GOL</v>
          </cell>
        </row>
        <row r="167">
          <cell r="B167" t="str">
            <v>VT22</v>
          </cell>
          <cell r="C167" t="str">
            <v>KJM3D48</v>
          </cell>
          <cell r="D167" t="str">
            <v>CELTA</v>
          </cell>
        </row>
        <row r="168">
          <cell r="B168" t="str">
            <v>VT23</v>
          </cell>
          <cell r="C168" t="str">
            <v>OCH1335</v>
          </cell>
          <cell r="D168" t="str">
            <v>POLO</v>
          </cell>
        </row>
        <row r="169">
          <cell r="B169" t="str">
            <v>VT24</v>
          </cell>
          <cell r="C169" t="str">
            <v>NUT1D50</v>
          </cell>
          <cell r="D169" t="str">
            <v xml:space="preserve">MOTO </v>
          </cell>
        </row>
        <row r="170">
          <cell r="B170" t="str">
            <v>VT25</v>
          </cell>
          <cell r="C170" t="str">
            <v>NRE3F98</v>
          </cell>
          <cell r="D170" t="str">
            <v xml:space="preserve">MOTO </v>
          </cell>
        </row>
        <row r="171">
          <cell r="B171" t="str">
            <v>VT26</v>
          </cell>
          <cell r="C171" t="str">
            <v>HXS9281</v>
          </cell>
          <cell r="D171" t="str">
            <v>GOL</v>
          </cell>
        </row>
        <row r="172">
          <cell r="B172" t="str">
            <v>VT27</v>
          </cell>
          <cell r="C172" t="str">
            <v>PBB8H75</v>
          </cell>
          <cell r="D172" t="str">
            <v>GOL</v>
          </cell>
        </row>
        <row r="173">
          <cell r="B173" t="str">
            <v>VT28</v>
          </cell>
          <cell r="C173" t="str">
            <v>OIH9967</v>
          </cell>
          <cell r="D173" t="str">
            <v>CELTA</v>
          </cell>
        </row>
        <row r="174">
          <cell r="B174" t="str">
            <v>VT29</v>
          </cell>
          <cell r="C174" t="str">
            <v>PMQ4A95</v>
          </cell>
          <cell r="D174" t="str">
            <v xml:space="preserve">MOTO </v>
          </cell>
        </row>
        <row r="175">
          <cell r="B175" t="str">
            <v>VT30</v>
          </cell>
          <cell r="C175" t="str">
            <v>NQZ9844</v>
          </cell>
          <cell r="D175" t="str">
            <v xml:space="preserve">MOTO </v>
          </cell>
        </row>
        <row r="176">
          <cell r="B176" t="str">
            <v>VT31</v>
          </cell>
          <cell r="C176" t="str">
            <v>EJL0247</v>
          </cell>
          <cell r="D176" t="str">
            <v>CORSA</v>
          </cell>
        </row>
        <row r="177">
          <cell r="B177" t="str">
            <v>VT32</v>
          </cell>
          <cell r="C177" t="str">
            <v>ORO5993</v>
          </cell>
          <cell r="D177" t="str">
            <v>HB20</v>
          </cell>
        </row>
        <row r="178">
          <cell r="B178" t="str">
            <v>VT33</v>
          </cell>
          <cell r="C178" t="str">
            <v>SBH0E69</v>
          </cell>
          <cell r="D178" t="str">
            <v xml:space="preserve">MOTO </v>
          </cell>
        </row>
        <row r="179">
          <cell r="B179" t="str">
            <v>VT35</v>
          </cell>
          <cell r="C179" t="str">
            <v>POG5674</v>
          </cell>
          <cell r="D179" t="str">
            <v xml:space="preserve">MOTO </v>
          </cell>
        </row>
        <row r="180">
          <cell r="B180" t="str">
            <v>VT34</v>
          </cell>
          <cell r="C180" t="str">
            <v>ORR1929</v>
          </cell>
          <cell r="D180" t="str">
            <v>VOYAGE</v>
          </cell>
        </row>
        <row r="181">
          <cell r="B181" t="str">
            <v>VT34</v>
          </cell>
          <cell r="C181">
            <v>0</v>
          </cell>
          <cell r="D181"/>
        </row>
        <row r="182">
          <cell r="B182"/>
          <cell r="C182"/>
          <cell r="D182"/>
        </row>
        <row r="183">
          <cell r="B183" t="str">
            <v>DIV</v>
          </cell>
          <cell r="C183" t="str">
            <v>DIVERSOS</v>
          </cell>
          <cell r="D183" t="str">
            <v>LUBRIFICANTES, ETC</v>
          </cell>
        </row>
        <row r="184">
          <cell r="B184" t="str">
            <v>EX LOB</v>
          </cell>
          <cell r="C184" t="str">
            <v>EXTRAÇÃO LAB</v>
          </cell>
          <cell r="D184" t="str">
            <v>ENSAIO LABORATORIO</v>
          </cell>
        </row>
        <row r="185">
          <cell r="B185" t="str">
            <v>S. EXT 01</v>
          </cell>
          <cell r="C185" t="str">
            <v>SONDA EXTRATORA</v>
          </cell>
          <cell r="D185" t="str">
            <v>SONDA EXTRATORA 01</v>
          </cell>
        </row>
        <row r="186">
          <cell r="B186" t="str">
            <v>DIV-T</v>
          </cell>
          <cell r="C186" t="str">
            <v>DIV. TERCEIROS</v>
          </cell>
          <cell r="D186" t="str">
            <v>LUBRIFICANTES, ETC</v>
          </cell>
        </row>
        <row r="187">
          <cell r="B187" t="str">
            <v>L VA 01</v>
          </cell>
          <cell r="C187" t="str">
            <v>L-VA CIBER</v>
          </cell>
          <cell r="D187" t="str">
            <v>L.P/VA 01</v>
          </cell>
        </row>
        <row r="188">
          <cell r="B188" t="str">
            <v>AGUA</v>
          </cell>
          <cell r="C188" t="str">
            <v>L-VA LEE BOY</v>
          </cell>
          <cell r="D188" t="str">
            <v>L.P/VA 04</v>
          </cell>
        </row>
        <row r="189">
          <cell r="B189" t="str">
            <v>GELO</v>
          </cell>
          <cell r="C189" t="str">
            <v>ÁGUA</v>
          </cell>
          <cell r="D189" t="str">
            <v>GARRAFÃO 20L</v>
          </cell>
        </row>
        <row r="190">
          <cell r="B190" t="str">
            <v>DISC TAC</v>
          </cell>
          <cell r="C190" t="str">
            <v>GELO</v>
          </cell>
          <cell r="D190" t="str">
            <v>GELO PCT 1 KG</v>
          </cell>
        </row>
        <row r="191">
          <cell r="B191" t="str">
            <v>D.TAC</v>
          </cell>
          <cell r="C191" t="str">
            <v>DISCO TACOGRAFO</v>
          </cell>
          <cell r="D191" t="str">
            <v>DISCO TAC. 7 DIAS</v>
          </cell>
        </row>
        <row r="192">
          <cell r="B192" t="str">
            <v xml:space="preserve">GÁS </v>
          </cell>
          <cell r="C192" t="str">
            <v>AGUA DESMINERALIZADA</v>
          </cell>
          <cell r="D192" t="str">
            <v>AGUA DESMINERALIZADA</v>
          </cell>
        </row>
        <row r="193">
          <cell r="B193" t="str">
            <v>ADIT</v>
          </cell>
          <cell r="C193" t="str">
            <v>GÁS DE COZINHA</v>
          </cell>
          <cell r="D193" t="str">
            <v>GÁS P/ MAÇARICO USINA</v>
          </cell>
        </row>
        <row r="194">
          <cell r="B194" t="str">
            <v>A-CB09</v>
          </cell>
          <cell r="C194" t="str">
            <v>ADITIVO</v>
          </cell>
          <cell r="D194" t="str">
            <v>ADITIVO P/ RADIADOR</v>
          </cell>
        </row>
        <row r="195">
          <cell r="B195" t="str">
            <v>BET-01</v>
          </cell>
          <cell r="C195" t="str">
            <v>BETONEIRA 01</v>
          </cell>
          <cell r="D195" t="str">
            <v>BETONEIRA P/SERV. DRENAGEM NO IPU</v>
          </cell>
        </row>
        <row r="196">
          <cell r="B196" t="str">
            <v>SAP 01</v>
          </cell>
          <cell r="C196" t="str">
            <v>SAPINHO 01</v>
          </cell>
          <cell r="D196" t="str">
            <v>SAPINHO P/SERV NO IPU</v>
          </cell>
        </row>
        <row r="197">
          <cell r="B197" t="str">
            <v>A-CB09</v>
          </cell>
          <cell r="C197" t="str">
            <v>A-OSG3B05</v>
          </cell>
          <cell r="D197" t="str">
            <v>ARLA 32</v>
          </cell>
        </row>
        <row r="198">
          <cell r="B198" t="str">
            <v>A-CB11</v>
          </cell>
          <cell r="C198" t="str">
            <v>A-OZA3176</v>
          </cell>
          <cell r="D198" t="str">
            <v>ARLA 32</v>
          </cell>
        </row>
        <row r="199">
          <cell r="B199" t="str">
            <v>A-CB12</v>
          </cell>
          <cell r="C199" t="str">
            <v>A-OSP9850</v>
          </cell>
          <cell r="D199" t="str">
            <v>ARLA 32</v>
          </cell>
        </row>
        <row r="200">
          <cell r="B200" t="str">
            <v>A-CB14</v>
          </cell>
          <cell r="C200" t="str">
            <v>A-PNX5G67</v>
          </cell>
          <cell r="D200" t="str">
            <v>ARLA 32</v>
          </cell>
        </row>
        <row r="201">
          <cell r="B201" t="str">
            <v>A-CB18</v>
          </cell>
          <cell r="C201" t="str">
            <v>A-PON7E59</v>
          </cell>
          <cell r="D201" t="str">
            <v>ARLA 32</v>
          </cell>
        </row>
        <row r="202">
          <cell r="B202" t="str">
            <v>A-CT03</v>
          </cell>
          <cell r="C202" t="str">
            <v>A-SBP6D64</v>
          </cell>
          <cell r="D202" t="str">
            <v>ARLA 32</v>
          </cell>
        </row>
        <row r="203">
          <cell r="B203" t="str">
            <v>A-CB19</v>
          </cell>
          <cell r="C203" t="str">
            <v>A-THT3E02</v>
          </cell>
          <cell r="D203" t="str">
            <v>ARLA 32</v>
          </cell>
        </row>
        <row r="204">
          <cell r="B204" t="str">
            <v>A-CT03</v>
          </cell>
          <cell r="C204" t="str">
            <v>A-PNO7767</v>
          </cell>
          <cell r="D204" t="str">
            <v>ARLA 32</v>
          </cell>
        </row>
        <row r="205">
          <cell r="B205" t="str">
            <v>A-CE04</v>
          </cell>
          <cell r="C205" t="str">
            <v>A-OSV2854</v>
          </cell>
          <cell r="D205" t="str">
            <v>ARLA 32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9352-1957-4255-8F03-32A80EC18B32}">
  <sheetPr codeName="Planilha11">
    <pageSetUpPr fitToPage="1"/>
  </sheetPr>
  <dimension ref="A1:M103"/>
  <sheetViews>
    <sheetView tabSelected="1" zoomScale="81" zoomScaleNormal="81" workbookViewId="0">
      <pane ySplit="7" topLeftCell="A8" activePane="bottomLeft" state="frozen"/>
      <selection activeCell="Q76" sqref="Q76:R76"/>
      <selection pane="bottomLeft" activeCell="D1" sqref="D1"/>
    </sheetView>
  </sheetViews>
  <sheetFormatPr defaultColWidth="9.21875" defaultRowHeight="14.4" x14ac:dyDescent="0.3"/>
  <cols>
    <col min="1" max="1" width="9.21875" style="33" bestFit="1" customWidth="1"/>
    <col min="2" max="2" width="10.21875" style="11" customWidth="1"/>
    <col min="3" max="3" width="16" style="11" customWidth="1"/>
    <col min="4" max="4" width="15.21875" style="33" customWidth="1"/>
    <col min="5" max="5" width="15.5546875" style="11" customWidth="1"/>
    <col min="6" max="6" width="28.21875" style="16" customWidth="1"/>
    <col min="7" max="7" width="18.88671875" style="16" customWidth="1"/>
    <col min="8" max="8" width="15.21875" style="16" customWidth="1"/>
    <col min="9" max="9" width="15.5546875" style="36" customWidth="1"/>
    <col min="10" max="10" width="10.5546875" style="36" customWidth="1"/>
    <col min="11" max="11" width="18.5546875" style="36" customWidth="1"/>
    <col min="12" max="12" width="14.77734375" style="11" bestFit="1" customWidth="1"/>
    <col min="13" max="13" width="23.77734375" style="11" customWidth="1"/>
    <col min="14" max="14" width="11.5546875" style="11" customWidth="1"/>
    <col min="15" max="20" width="9.21875" style="11"/>
    <col min="21" max="21" width="10.21875" style="11" bestFit="1" customWidth="1"/>
    <col min="22" max="16384" width="9.21875" style="11"/>
  </cols>
  <sheetData>
    <row r="1" spans="1:13" ht="20.100000000000001" customHeight="1" thickTop="1" x14ac:dyDescent="0.3">
      <c r="A1" s="1"/>
      <c r="B1" s="2"/>
      <c r="C1" s="3" t="s">
        <v>0</v>
      </c>
      <c r="D1" s="4"/>
      <c r="E1" s="5"/>
      <c r="F1" s="6"/>
      <c r="G1" s="6"/>
      <c r="H1" s="6"/>
      <c r="I1" s="7" t="s">
        <v>1</v>
      </c>
      <c r="J1" s="8"/>
      <c r="K1" s="6"/>
      <c r="L1" s="9" t="s">
        <v>2</v>
      </c>
      <c r="M1" s="10"/>
    </row>
    <row r="2" spans="1:13" ht="20.100000000000001" customHeight="1" x14ac:dyDescent="0.3">
      <c r="A2" s="12"/>
      <c r="B2" s="13"/>
      <c r="C2" s="14" t="s">
        <v>3</v>
      </c>
      <c r="D2" s="15"/>
      <c r="E2" s="11" t="str">
        <f>IFERROR(VLOOKUP($D$2,[3]CADASTRO!$B$9:L28,3,0),"")</f>
        <v/>
      </c>
      <c r="G2" s="17" t="s">
        <v>4</v>
      </c>
      <c r="H2" s="18"/>
      <c r="I2" s="19" t="s">
        <v>5</v>
      </c>
      <c r="J2" s="16"/>
      <c r="K2" s="20"/>
      <c r="L2" s="21" t="s">
        <v>6</v>
      </c>
      <c r="M2" s="22"/>
    </row>
    <row r="3" spans="1:13" ht="20.100000000000001" customHeight="1" thickBot="1" x14ac:dyDescent="0.35">
      <c r="A3" s="23"/>
      <c r="B3" s="24"/>
      <c r="C3" s="25" t="s">
        <v>7</v>
      </c>
      <c r="D3" s="100"/>
      <c r="E3" s="100"/>
      <c r="F3" s="26"/>
      <c r="G3" s="27" t="s">
        <v>8</v>
      </c>
      <c r="H3" s="28"/>
      <c r="I3" s="29" t="s">
        <v>9</v>
      </c>
      <c r="J3" s="30"/>
      <c r="K3" s="30"/>
      <c r="L3" s="31" t="s">
        <v>10</v>
      </c>
      <c r="M3" s="32"/>
    </row>
    <row r="4" spans="1:13" ht="9" customHeight="1" thickTop="1" thickBot="1" x14ac:dyDescent="0.35">
      <c r="D4" s="34"/>
      <c r="E4" s="35"/>
    </row>
    <row r="5" spans="1:13" ht="21" customHeight="1" thickTop="1" thickBot="1" x14ac:dyDescent="0.35">
      <c r="A5" s="101" t="s">
        <v>11</v>
      </c>
      <c r="B5" s="102"/>
      <c r="C5" s="102"/>
      <c r="D5" s="102"/>
      <c r="E5" s="102"/>
      <c r="F5" s="102"/>
      <c r="G5" s="102"/>
      <c r="H5" s="103"/>
      <c r="I5" s="103"/>
      <c r="J5" s="103"/>
      <c r="K5" s="103"/>
      <c r="L5" s="103"/>
      <c r="M5" s="104"/>
    </row>
    <row r="6" spans="1:13" ht="9" customHeight="1" thickTop="1" thickBot="1" x14ac:dyDescent="0.35">
      <c r="B6" s="37"/>
      <c r="C6" s="37"/>
      <c r="D6" s="38"/>
      <c r="E6" s="37"/>
      <c r="F6" s="30"/>
      <c r="G6" s="30"/>
      <c r="H6" s="30"/>
      <c r="I6" s="39"/>
      <c r="J6" s="39"/>
      <c r="K6" s="39"/>
      <c r="L6" s="37"/>
      <c r="M6" s="37"/>
    </row>
    <row r="7" spans="1:13" s="44" customFormat="1" ht="43.8" thickTop="1" x14ac:dyDescent="0.3">
      <c r="A7" s="40" t="s">
        <v>12</v>
      </c>
      <c r="B7" s="41" t="s">
        <v>13</v>
      </c>
      <c r="C7" s="41" t="s">
        <v>14</v>
      </c>
      <c r="D7" s="42" t="s">
        <v>15</v>
      </c>
      <c r="E7" s="42" t="s">
        <v>16</v>
      </c>
      <c r="F7" s="42" t="s">
        <v>17</v>
      </c>
      <c r="G7" s="42" t="s">
        <v>18</v>
      </c>
      <c r="H7" s="42" t="s">
        <v>19</v>
      </c>
      <c r="I7" s="42" t="s">
        <v>20</v>
      </c>
      <c r="J7" s="42" t="s">
        <v>21</v>
      </c>
      <c r="K7" s="42" t="s">
        <v>22</v>
      </c>
      <c r="L7" s="42" t="s">
        <v>23</v>
      </c>
      <c r="M7" s="43" t="s">
        <v>24</v>
      </c>
    </row>
    <row r="8" spans="1:13" s="57" customFormat="1" ht="18" customHeight="1" x14ac:dyDescent="0.3">
      <c r="A8" s="45"/>
      <c r="B8" s="46"/>
      <c r="C8" s="47"/>
      <c r="D8" s="48"/>
      <c r="E8" s="49"/>
      <c r="F8" s="49"/>
      <c r="G8" s="50"/>
      <c r="H8" s="51"/>
      <c r="I8" s="52"/>
      <c r="J8" s="53"/>
      <c r="K8" s="54" t="str">
        <f>IF(J8="","",I8*J8)</f>
        <v/>
      </c>
      <c r="L8" s="55"/>
      <c r="M8" s="56"/>
    </row>
    <row r="9" spans="1:13" s="57" customFormat="1" ht="18" customHeight="1" x14ac:dyDescent="0.3">
      <c r="A9" s="45"/>
      <c r="B9" s="46"/>
      <c r="C9" s="47"/>
      <c r="D9" s="48"/>
      <c r="E9" s="49"/>
      <c r="F9" s="49"/>
      <c r="G9" s="50"/>
      <c r="H9" s="51"/>
      <c r="I9" s="52"/>
      <c r="J9" s="53"/>
      <c r="K9" s="54" t="str">
        <f t="shared" ref="K9:K11" si="0">IF(J9="","",I9*J9)</f>
        <v/>
      </c>
      <c r="L9" s="55"/>
      <c r="M9" s="56"/>
    </row>
    <row r="10" spans="1:13" s="57" customFormat="1" ht="18" customHeight="1" x14ac:dyDescent="0.3">
      <c r="A10" s="45"/>
      <c r="B10" s="46"/>
      <c r="C10" s="47"/>
      <c r="D10" s="48"/>
      <c r="E10" s="49"/>
      <c r="F10" s="49"/>
      <c r="G10" s="50"/>
      <c r="H10" s="51"/>
      <c r="I10" s="52"/>
      <c r="J10" s="53"/>
      <c r="K10" s="54" t="str">
        <f t="shared" si="0"/>
        <v/>
      </c>
      <c r="L10" s="55"/>
      <c r="M10" s="56"/>
    </row>
    <row r="11" spans="1:13" s="57" customFormat="1" ht="18" customHeight="1" x14ac:dyDescent="0.3">
      <c r="A11" s="45"/>
      <c r="B11" s="46"/>
      <c r="C11" s="47"/>
      <c r="D11" s="48"/>
      <c r="E11" s="49"/>
      <c r="F11" s="49"/>
      <c r="G11" s="50"/>
      <c r="H11" s="51"/>
      <c r="I11" s="52"/>
      <c r="J11" s="53"/>
      <c r="K11" s="54" t="str">
        <f t="shared" si="0"/>
        <v/>
      </c>
      <c r="L11" s="55"/>
      <c r="M11" s="56"/>
    </row>
    <row r="12" spans="1:13" s="57" customFormat="1" ht="18" customHeight="1" x14ac:dyDescent="0.3">
      <c r="A12" s="45"/>
      <c r="B12" s="46"/>
      <c r="C12" s="47"/>
      <c r="D12" s="58"/>
      <c r="E12" s="49"/>
      <c r="F12" s="49"/>
      <c r="G12" s="50"/>
      <c r="H12" s="51"/>
      <c r="I12" s="52"/>
      <c r="J12" s="53"/>
      <c r="K12" s="54" t="str">
        <f>IF(J12="","",I12*J12)</f>
        <v/>
      </c>
      <c r="L12" s="55"/>
      <c r="M12" s="56"/>
    </row>
    <row r="13" spans="1:13" s="57" customFormat="1" ht="18" customHeight="1" x14ac:dyDescent="0.3">
      <c r="A13" s="45"/>
      <c r="B13" s="46"/>
      <c r="C13" s="47"/>
      <c r="D13" s="59"/>
      <c r="E13" s="49"/>
      <c r="F13" s="49"/>
      <c r="G13" s="50"/>
      <c r="H13" s="51"/>
      <c r="I13" s="52"/>
      <c r="J13" s="53"/>
      <c r="K13" s="54" t="str">
        <f t="shared" ref="K13:K20" si="1">IF(J13="","",I13*J13)</f>
        <v/>
      </c>
      <c r="L13" s="55"/>
      <c r="M13" s="56"/>
    </row>
    <row r="14" spans="1:13" s="57" customFormat="1" ht="18" customHeight="1" x14ac:dyDescent="0.3">
      <c r="A14" s="45"/>
      <c r="B14" s="46"/>
      <c r="C14" s="47"/>
      <c r="D14" s="59"/>
      <c r="E14" s="49"/>
      <c r="F14" s="49"/>
      <c r="G14" s="50"/>
      <c r="H14" s="51"/>
      <c r="I14" s="60"/>
      <c r="J14" s="53"/>
      <c r="K14" s="54" t="str">
        <f t="shared" si="1"/>
        <v/>
      </c>
      <c r="L14" s="61"/>
      <c r="M14" s="56"/>
    </row>
    <row r="15" spans="1:13" s="57" customFormat="1" ht="18" customHeight="1" x14ac:dyDescent="0.3">
      <c r="A15" s="45"/>
      <c r="B15" s="46"/>
      <c r="C15" s="47"/>
      <c r="D15" s="59"/>
      <c r="E15" s="49"/>
      <c r="F15" s="49"/>
      <c r="G15" s="50"/>
      <c r="H15" s="51"/>
      <c r="I15" s="60"/>
      <c r="J15" s="53"/>
      <c r="K15" s="54" t="str">
        <f t="shared" si="1"/>
        <v/>
      </c>
      <c r="L15" s="61"/>
      <c r="M15" s="56"/>
    </row>
    <row r="16" spans="1:13" s="57" customFormat="1" ht="18" customHeight="1" x14ac:dyDescent="0.3">
      <c r="A16" s="45"/>
      <c r="B16" s="46"/>
      <c r="C16" s="47"/>
      <c r="D16" s="59"/>
      <c r="E16" s="49"/>
      <c r="F16" s="49"/>
      <c r="G16" s="50"/>
      <c r="H16" s="51"/>
      <c r="I16" s="60"/>
      <c r="J16" s="53"/>
      <c r="K16" s="54" t="str">
        <f t="shared" si="1"/>
        <v/>
      </c>
      <c r="L16" s="61"/>
      <c r="M16" s="56"/>
    </row>
    <row r="17" spans="1:13" s="57" customFormat="1" ht="18" customHeight="1" x14ac:dyDescent="0.3">
      <c r="A17" s="45"/>
      <c r="B17" s="46"/>
      <c r="C17" s="47"/>
      <c r="D17" s="48"/>
      <c r="E17" s="49"/>
      <c r="F17" s="49"/>
      <c r="G17" s="50"/>
      <c r="H17" s="51"/>
      <c r="I17" s="60"/>
      <c r="J17" s="53"/>
      <c r="K17" s="54" t="str">
        <f t="shared" si="1"/>
        <v/>
      </c>
      <c r="L17" s="61"/>
      <c r="M17" s="56"/>
    </row>
    <row r="18" spans="1:13" s="57" customFormat="1" ht="18" customHeight="1" x14ac:dyDescent="0.3">
      <c r="A18" s="45"/>
      <c r="B18" s="46"/>
      <c r="C18" s="47"/>
      <c r="D18" s="48"/>
      <c r="E18" s="49"/>
      <c r="F18" s="49"/>
      <c r="G18" s="50"/>
      <c r="H18" s="51"/>
      <c r="I18" s="60"/>
      <c r="J18" s="53"/>
      <c r="K18" s="54" t="str">
        <f t="shared" si="1"/>
        <v/>
      </c>
      <c r="L18" s="61"/>
      <c r="M18" s="56"/>
    </row>
    <row r="19" spans="1:13" s="57" customFormat="1" ht="18" customHeight="1" x14ac:dyDescent="0.3">
      <c r="A19" s="45"/>
      <c r="B19" s="46"/>
      <c r="C19" s="47"/>
      <c r="D19" s="48"/>
      <c r="E19" s="49"/>
      <c r="F19" s="49"/>
      <c r="G19" s="50"/>
      <c r="H19" s="51"/>
      <c r="I19" s="60"/>
      <c r="J19" s="53"/>
      <c r="K19" s="54" t="str">
        <f t="shared" si="1"/>
        <v/>
      </c>
      <c r="L19" s="61"/>
      <c r="M19" s="56"/>
    </row>
    <row r="20" spans="1:13" s="57" customFormat="1" ht="18" customHeight="1" x14ac:dyDescent="0.3">
      <c r="A20" s="45"/>
      <c r="B20" s="46"/>
      <c r="C20" s="47"/>
      <c r="D20" s="48"/>
      <c r="E20" s="49"/>
      <c r="F20" s="49"/>
      <c r="G20" s="50"/>
      <c r="H20" s="51"/>
      <c r="I20" s="60"/>
      <c r="J20" s="53"/>
      <c r="K20" s="54" t="str">
        <f t="shared" si="1"/>
        <v/>
      </c>
      <c r="L20" s="61"/>
      <c r="M20" s="56"/>
    </row>
    <row r="21" spans="1:13" s="57" customFormat="1" ht="18" customHeight="1" thickBot="1" x14ac:dyDescent="0.35">
      <c r="A21" s="62"/>
      <c r="B21" s="63"/>
      <c r="C21" s="64"/>
      <c r="D21" s="65"/>
      <c r="E21" s="66"/>
      <c r="F21" s="66"/>
      <c r="G21" s="66"/>
      <c r="H21" s="66"/>
      <c r="I21" s="66"/>
      <c r="J21" s="66"/>
      <c r="K21" s="66"/>
      <c r="L21" s="67"/>
      <c r="M21" s="68"/>
    </row>
    <row r="22" spans="1:13" ht="15.75" customHeight="1" thickBot="1" x14ac:dyDescent="0.35">
      <c r="A22" s="69"/>
      <c r="B22" s="70"/>
      <c r="C22" s="71" t="s">
        <v>25</v>
      </c>
      <c r="D22" s="72"/>
      <c r="E22" s="70"/>
      <c r="F22" s="73"/>
      <c r="G22" s="73"/>
      <c r="H22" s="73"/>
      <c r="I22" s="74">
        <f>SUBTOTAL(9,I8:I21)</f>
        <v>0</v>
      </c>
      <c r="J22" s="75"/>
      <c r="K22" s="76">
        <f>SUBTOTAL(9,K8:K21)</f>
        <v>0</v>
      </c>
      <c r="L22" s="77" t="s">
        <v>25</v>
      </c>
      <c r="M22" s="78"/>
    </row>
    <row r="23" spans="1:13" ht="15.75" customHeight="1" x14ac:dyDescent="0.3">
      <c r="C23" s="79"/>
      <c r="I23" s="80"/>
      <c r="J23" s="81"/>
      <c r="K23" s="82"/>
      <c r="L23" s="83"/>
      <c r="M23" s="78"/>
    </row>
    <row r="24" spans="1:13" ht="15.75" customHeight="1" x14ac:dyDescent="0.3">
      <c r="H24" s="84"/>
      <c r="K24" s="85"/>
      <c r="M24" s="86"/>
    </row>
    <row r="25" spans="1:13" x14ac:dyDescent="0.3">
      <c r="D25" s="11"/>
      <c r="H25" s="84"/>
      <c r="K25" s="85"/>
      <c r="M25" s="87"/>
    </row>
    <row r="26" spans="1:13" x14ac:dyDescent="0.3">
      <c r="D26" s="11"/>
      <c r="H26" s="84"/>
      <c r="K26" s="85"/>
      <c r="M26" s="87"/>
    </row>
    <row r="27" spans="1:13" x14ac:dyDescent="0.3">
      <c r="H27" s="84"/>
      <c r="K27" s="85"/>
    </row>
    <row r="28" spans="1:13" x14ac:dyDescent="0.3">
      <c r="H28" s="84"/>
      <c r="K28" s="85"/>
    </row>
    <row r="29" spans="1:13" x14ac:dyDescent="0.3">
      <c r="H29" s="84"/>
      <c r="K29" s="85"/>
    </row>
    <row r="30" spans="1:13" x14ac:dyDescent="0.3">
      <c r="H30" s="84"/>
      <c r="K30" s="85"/>
    </row>
    <row r="31" spans="1:13" x14ac:dyDescent="0.3">
      <c r="H31" s="84"/>
      <c r="K31" s="85"/>
    </row>
    <row r="32" spans="1:13" x14ac:dyDescent="0.3">
      <c r="H32" s="84"/>
      <c r="K32" s="85"/>
    </row>
    <row r="33" spans="4:11" ht="15.6" x14ac:dyDescent="0.3">
      <c r="H33" s="84"/>
      <c r="I33" s="88" t="s">
        <v>26</v>
      </c>
      <c r="J33" s="89" t="s">
        <v>27</v>
      </c>
      <c r="K33" s="90">
        <f>SUMIFS($K$8:K28,$H$8:H28,J33)</f>
        <v>0</v>
      </c>
    </row>
    <row r="34" spans="4:11" ht="15.6" x14ac:dyDescent="0.3">
      <c r="H34" s="84"/>
      <c r="I34" s="91"/>
      <c r="J34" s="89" t="s">
        <v>28</v>
      </c>
      <c r="K34" s="90">
        <f>SUMIFS(K8:K28,H8:H28,J34)</f>
        <v>0</v>
      </c>
    </row>
    <row r="35" spans="4:11" ht="15.6" x14ac:dyDescent="0.3">
      <c r="H35" s="84"/>
      <c r="I35" s="91"/>
      <c r="J35" s="89" t="s">
        <v>29</v>
      </c>
      <c r="K35" s="91"/>
    </row>
    <row r="36" spans="4:11" ht="15" thickBot="1" x14ac:dyDescent="0.35">
      <c r="H36" s="84"/>
      <c r="K36" s="85"/>
    </row>
    <row r="37" spans="4:11" x14ac:dyDescent="0.3">
      <c r="E37" s="105">
        <f>D2</f>
        <v>0</v>
      </c>
      <c r="F37" s="106"/>
      <c r="H37" s="84"/>
      <c r="K37" s="85"/>
    </row>
    <row r="38" spans="4:11" x14ac:dyDescent="0.3">
      <c r="E38" s="107" t="e">
        <f>VLOOKUP(E37,[3]CADASTRO!$B$9:$D$447,3,0)</f>
        <v>#N/A</v>
      </c>
      <c r="F38" s="108"/>
      <c r="H38" s="84"/>
      <c r="K38" s="85"/>
    </row>
    <row r="39" spans="4:11" x14ac:dyDescent="0.3">
      <c r="E39" s="92" t="s">
        <v>30</v>
      </c>
      <c r="F39" s="93" t="s">
        <v>25</v>
      </c>
      <c r="H39" s="84"/>
      <c r="K39" s="85"/>
    </row>
    <row r="40" spans="4:11" x14ac:dyDescent="0.3">
      <c r="D40" s="94" t="s">
        <v>28</v>
      </c>
      <c r="E40" s="95">
        <f>SUMIFS($I$8:$I$28,$H$8:$H$28,$D40,$G$8:$G$28,E$37)</f>
        <v>0</v>
      </c>
      <c r="F40" s="96">
        <f>SUMIFS($K$8:$K$28,$H$8:$H$28,$D40,$G$8:$G$28,E$37)</f>
        <v>0</v>
      </c>
      <c r="H40" s="84"/>
      <c r="K40" s="85"/>
    </row>
    <row r="41" spans="4:11" x14ac:dyDescent="0.3">
      <c r="D41" s="94" t="s">
        <v>27</v>
      </c>
      <c r="E41" s="95">
        <f>SUMIFS($I$8:$I$28,$H$8:$H$28,$D41,$G$8:$G$28,E$37)</f>
        <v>0</v>
      </c>
      <c r="F41" s="96">
        <f>SUMIFS($K$8:$K$28,$H$8:$H$28,$D41,$G$8:$G$28,E$37)</f>
        <v>0</v>
      </c>
      <c r="H41" s="84"/>
      <c r="K41" s="85"/>
    </row>
    <row r="42" spans="4:11" x14ac:dyDescent="0.3">
      <c r="D42" s="94" t="s">
        <v>31</v>
      </c>
      <c r="E42" s="95">
        <f>SUMIFS($I$8:$I$28,$H$8:$H$28,$D42,$G$8:$G$28,E$37)</f>
        <v>0</v>
      </c>
      <c r="F42" s="96">
        <f>SUMIFS($K$8:$K$28,$H$8:$H$28,$D42,$G$8:$G$28,E$37)</f>
        <v>0</v>
      </c>
      <c r="H42" s="84"/>
      <c r="J42" s="97"/>
      <c r="K42" s="85"/>
    </row>
    <row r="43" spans="4:11" x14ac:dyDescent="0.3">
      <c r="D43" s="94" t="s">
        <v>32</v>
      </c>
      <c r="E43" s="95">
        <f>SUMIFS($I$8:$I$28,$H$8:$H$28,$D43,$G$8:$G$28,E$37)</f>
        <v>0</v>
      </c>
      <c r="F43" s="96">
        <f>SUMIFS($K$8:$K$28,$H$8:$H$28,$D43,$G$8:$G$28,E$37)</f>
        <v>0</v>
      </c>
      <c r="H43" s="84"/>
      <c r="K43" s="85"/>
    </row>
    <row r="44" spans="4:11" ht="15" thickBot="1" x14ac:dyDescent="0.35">
      <c r="D44" s="94" t="s">
        <v>33</v>
      </c>
      <c r="E44" s="95">
        <f>SUMIFS($I$8:$I$28,$H$8:$H$28,$D44,$G$8:$G$28,E$37)</f>
        <v>0</v>
      </c>
      <c r="F44" s="96">
        <f>SUMIFS($K$8:$K$28,$H$8:$H$28,$D44,$G$8:$G$28,E$37)</f>
        <v>0</v>
      </c>
      <c r="H44" s="84"/>
      <c r="K44" s="85"/>
    </row>
    <row r="45" spans="4:11" ht="15" thickBot="1" x14ac:dyDescent="0.35">
      <c r="E45" s="98">
        <f>SUBTOTAL(9,E40:E44)</f>
        <v>0</v>
      </c>
      <c r="F45" s="99">
        <f>SUM(F40:F44)</f>
        <v>0</v>
      </c>
      <c r="H45" s="84"/>
      <c r="K45" s="85"/>
    </row>
    <row r="46" spans="4:11" x14ac:dyDescent="0.3">
      <c r="H46" s="84"/>
      <c r="K46" s="85"/>
    </row>
    <row r="47" spans="4:11" x14ac:dyDescent="0.3">
      <c r="H47" s="84"/>
      <c r="K47" s="85"/>
    </row>
    <row r="48" spans="4:11" x14ac:dyDescent="0.3">
      <c r="H48" s="84"/>
      <c r="K48" s="85"/>
    </row>
    <row r="49" spans="8:11" x14ac:dyDescent="0.3">
      <c r="H49" s="84"/>
      <c r="K49" s="85"/>
    </row>
    <row r="50" spans="8:11" x14ac:dyDescent="0.3">
      <c r="H50" s="84"/>
      <c r="K50" s="85"/>
    </row>
    <row r="51" spans="8:11" x14ac:dyDescent="0.3">
      <c r="H51" s="84"/>
      <c r="K51" s="85"/>
    </row>
    <row r="52" spans="8:11" x14ac:dyDescent="0.3">
      <c r="H52" s="84"/>
      <c r="K52" s="85"/>
    </row>
    <row r="53" spans="8:11" x14ac:dyDescent="0.3">
      <c r="H53" s="84"/>
      <c r="K53" s="85"/>
    </row>
    <row r="54" spans="8:11" x14ac:dyDescent="0.3">
      <c r="H54" s="84"/>
      <c r="K54" s="85"/>
    </row>
    <row r="55" spans="8:11" x14ac:dyDescent="0.3">
      <c r="H55" s="84"/>
      <c r="K55" s="85"/>
    </row>
    <row r="56" spans="8:11" x14ac:dyDescent="0.3">
      <c r="H56" s="84"/>
      <c r="K56" s="85"/>
    </row>
    <row r="57" spans="8:11" x14ac:dyDescent="0.3">
      <c r="H57" s="84"/>
      <c r="K57" s="85"/>
    </row>
    <row r="58" spans="8:11" x14ac:dyDescent="0.3">
      <c r="H58" s="84"/>
      <c r="K58" s="85"/>
    </row>
    <row r="59" spans="8:11" x14ac:dyDescent="0.3">
      <c r="H59" s="84"/>
      <c r="K59" s="85"/>
    </row>
    <row r="60" spans="8:11" x14ac:dyDescent="0.3">
      <c r="H60" s="84"/>
      <c r="K60" s="85"/>
    </row>
    <row r="61" spans="8:11" x14ac:dyDescent="0.3">
      <c r="H61" s="84"/>
      <c r="K61" s="85"/>
    </row>
    <row r="62" spans="8:11" x14ac:dyDescent="0.3">
      <c r="H62" s="84"/>
      <c r="K62" s="85"/>
    </row>
    <row r="63" spans="8:11" x14ac:dyDescent="0.3">
      <c r="H63" s="84"/>
      <c r="K63" s="85"/>
    </row>
    <row r="64" spans="8:11" x14ac:dyDescent="0.3">
      <c r="H64" s="84"/>
      <c r="K64" s="85"/>
    </row>
    <row r="65" spans="8:11" x14ac:dyDescent="0.3">
      <c r="H65" s="84"/>
      <c r="K65" s="85"/>
    </row>
    <row r="66" spans="8:11" x14ac:dyDescent="0.3">
      <c r="H66" s="84"/>
      <c r="K66" s="85"/>
    </row>
    <row r="67" spans="8:11" x14ac:dyDescent="0.3">
      <c r="H67" s="84"/>
      <c r="K67" s="85"/>
    </row>
    <row r="68" spans="8:11" x14ac:dyDescent="0.3">
      <c r="H68" s="84"/>
      <c r="K68" s="85"/>
    </row>
    <row r="69" spans="8:11" x14ac:dyDescent="0.3">
      <c r="H69" s="84"/>
      <c r="K69" s="85"/>
    </row>
    <row r="70" spans="8:11" x14ac:dyDescent="0.3">
      <c r="H70" s="84"/>
      <c r="K70" s="85"/>
    </row>
    <row r="71" spans="8:11" x14ac:dyDescent="0.3">
      <c r="H71" s="84"/>
      <c r="K71" s="85"/>
    </row>
    <row r="72" spans="8:11" x14ac:dyDescent="0.3">
      <c r="H72" s="84"/>
      <c r="K72" s="85"/>
    </row>
    <row r="73" spans="8:11" x14ac:dyDescent="0.3">
      <c r="H73" s="84"/>
      <c r="K73" s="85"/>
    </row>
    <row r="74" spans="8:11" x14ac:dyDescent="0.3">
      <c r="H74" s="84"/>
      <c r="K74" s="85"/>
    </row>
    <row r="75" spans="8:11" x14ac:dyDescent="0.3">
      <c r="H75" s="84"/>
      <c r="K75" s="85"/>
    </row>
    <row r="76" spans="8:11" x14ac:dyDescent="0.3">
      <c r="H76" s="84"/>
      <c r="K76" s="85"/>
    </row>
    <row r="77" spans="8:11" x14ac:dyDescent="0.3">
      <c r="H77" s="84"/>
      <c r="K77" s="85"/>
    </row>
    <row r="78" spans="8:11" x14ac:dyDescent="0.3">
      <c r="H78" s="84"/>
      <c r="K78" s="85"/>
    </row>
    <row r="79" spans="8:11" x14ac:dyDescent="0.3">
      <c r="H79" s="84"/>
      <c r="K79" s="85"/>
    </row>
    <row r="80" spans="8:11" x14ac:dyDescent="0.3">
      <c r="H80" s="84"/>
      <c r="K80" s="85"/>
    </row>
    <row r="81" spans="8:11" x14ac:dyDescent="0.3">
      <c r="H81" s="84"/>
      <c r="K81" s="85"/>
    </row>
    <row r="82" spans="8:11" x14ac:dyDescent="0.3">
      <c r="H82" s="84"/>
      <c r="K82" s="85"/>
    </row>
    <row r="83" spans="8:11" x14ac:dyDescent="0.3">
      <c r="H83" s="84"/>
      <c r="K83" s="85"/>
    </row>
    <row r="84" spans="8:11" x14ac:dyDescent="0.3">
      <c r="H84" s="84"/>
      <c r="K84" s="85"/>
    </row>
    <row r="85" spans="8:11" x14ac:dyDescent="0.3">
      <c r="H85" s="84"/>
      <c r="K85" s="85"/>
    </row>
    <row r="86" spans="8:11" x14ac:dyDescent="0.3">
      <c r="H86" s="84"/>
      <c r="K86" s="85"/>
    </row>
    <row r="87" spans="8:11" x14ac:dyDescent="0.3">
      <c r="H87" s="84"/>
      <c r="K87" s="85"/>
    </row>
    <row r="88" spans="8:11" x14ac:dyDescent="0.3">
      <c r="H88" s="84"/>
      <c r="K88" s="85"/>
    </row>
    <row r="89" spans="8:11" x14ac:dyDescent="0.3">
      <c r="H89" s="84"/>
    </row>
    <row r="90" spans="8:11" x14ac:dyDescent="0.3">
      <c r="H90" s="84"/>
    </row>
    <row r="91" spans="8:11" x14ac:dyDescent="0.3">
      <c r="H91" s="84"/>
    </row>
    <row r="92" spans="8:11" x14ac:dyDescent="0.3">
      <c r="H92" s="84"/>
    </row>
    <row r="93" spans="8:11" x14ac:dyDescent="0.3">
      <c r="H93" s="84"/>
    </row>
    <row r="94" spans="8:11" x14ac:dyDescent="0.3">
      <c r="H94" s="84"/>
    </row>
    <row r="95" spans="8:11" x14ac:dyDescent="0.3">
      <c r="H95" s="84"/>
    </row>
    <row r="96" spans="8:11" x14ac:dyDescent="0.3">
      <c r="H96" s="84"/>
    </row>
    <row r="97" spans="8:8" x14ac:dyDescent="0.3">
      <c r="H97" s="84"/>
    </row>
    <row r="98" spans="8:8" x14ac:dyDescent="0.3">
      <c r="H98" s="84"/>
    </row>
    <row r="99" spans="8:8" x14ac:dyDescent="0.3">
      <c r="H99" s="84"/>
    </row>
    <row r="100" spans="8:8" x14ac:dyDescent="0.3">
      <c r="H100" s="84"/>
    </row>
    <row r="101" spans="8:8" x14ac:dyDescent="0.3">
      <c r="H101" s="84"/>
    </row>
    <row r="102" spans="8:8" x14ac:dyDescent="0.3">
      <c r="H102" s="84"/>
    </row>
    <row r="103" spans="8:8" x14ac:dyDescent="0.3">
      <c r="H103" s="84"/>
    </row>
  </sheetData>
  <autoFilter ref="A7:M24" xr:uid="{00000000-0009-0000-0000-000005000000}"/>
  <mergeCells count="5">
    <mergeCell ref="D3:E3"/>
    <mergeCell ref="A5:G5"/>
    <mergeCell ref="H5:M5"/>
    <mergeCell ref="E37:F37"/>
    <mergeCell ref="E38:F38"/>
  </mergeCells>
  <dataValidations count="2">
    <dataValidation type="list" allowBlank="1" showInputMessage="1" showErrorMessage="1" sqref="H8" xr:uid="{04A5F538-72D8-41D5-9E01-B43CC7EBC49D}">
      <formula1>$J$33:$J$35</formula1>
    </dataValidation>
    <dataValidation type="list" allowBlank="1" showInputMessage="1" showErrorMessage="1" sqref="H9:H21" xr:uid="{032FCD60-9BCB-4D91-9EB5-D44BDB607256}">
      <formula1>$D$40:$D$41</formula1>
    </dataValidation>
  </dataValidations>
  <printOptions horizontalCentered="1" verticalCentered="1"/>
  <pageMargins left="0.39370078740157483" right="0.39370078740157483" top="0" bottom="0" header="0.31496062992125984" footer="0.31496062992125984"/>
  <pageSetup paperSize="9" scale="65" fitToHeight="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PADRÃO</vt:lpstr>
      <vt:lpstr>PADRÃO!Area_de_impressao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braga</dc:creator>
  <cp:lastModifiedBy>moises braga</cp:lastModifiedBy>
  <dcterms:created xsi:type="dcterms:W3CDTF">2026-04-26T00:13:15Z</dcterms:created>
  <dcterms:modified xsi:type="dcterms:W3CDTF">2026-04-26T00:20:00Z</dcterms:modified>
</cp:coreProperties>
</file>